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urement Checklist" sheetId="1" state="visible" r:id="rId1"/>
    <sheet xmlns:r="http://schemas.openxmlformats.org/officeDocument/2006/relationships" name="Vendor Evaluation" sheetId="2" state="visible" r:id="rId2"/>
    <sheet xmlns:r="http://schemas.openxmlformats.org/officeDocument/2006/relationships" name="Key Specifications" sheetId="3" state="visible" r:id="rId3"/>
    <sheet xmlns:r="http://schemas.openxmlformats.org/officeDocument/2006/relationships" name="Document Checklist" sheetId="4" state="visible" r:id="rId4"/>
    <sheet xmlns:r="http://schemas.openxmlformats.org/officeDocument/2006/relationships" name="IEC Quick Reference" sheetId="5" state="visible" r:id="rId5"/>
  </sheets>
  <definedNames>
    <definedName name="_xlnm.Print_Titles" localSheetId="0">'Procurement Checklist'!$4:$4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name val="Noto Sans CJK SC"/>
      <color rgb="001B2A4A"/>
      <sz val="16"/>
    </font>
    <font>
      <name val="Noto Sans CJK SC"/>
      <color rgb="00FFFFFF"/>
      <sz val="11"/>
    </font>
    <font>
      <name val="Noto Sans CJK SC"/>
      <color rgb="0037352F"/>
      <sz val="11"/>
    </font>
    <font>
      <name val="Noto Sans CJK SC"/>
      <color rgb="001B2A4A"/>
      <sz val="11"/>
    </font>
    <font>
      <name val="Noto Sans CJK SC"/>
      <b val="1"/>
      <color rgb="001B2A4A"/>
      <sz val="12"/>
    </font>
  </fonts>
  <fills count="7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7F7F5"/>
      </patternFill>
    </fill>
    <fill>
      <patternFill patternType="solid">
        <fgColor rgb="00EBF5FB"/>
      </patternFill>
    </fill>
  </fills>
  <borders count="3">
    <border>
      <left/>
      <right/>
      <top/>
      <bottom/>
      <diagonal/>
    </border>
    <border>
      <bottom style="thin">
        <color rgb="00E9E9E8"/>
      </bottom>
    </border>
    <border>
      <top style="medium">
        <color rgb="00E9E9E8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4" borderId="0" pivotButton="0" quotePrefix="0" xfId="0"/>
    <xf numFmtId="0" fontId="4" fillId="4" borderId="0" applyAlignment="1" pivotButton="0" quotePrefix="0" xfId="0">
      <alignment horizontal="left" vertical="top" wrapText="1"/>
    </xf>
    <xf numFmtId="0" fontId="3" fillId="5" borderId="0" pivotButton="0" quotePrefix="0" xfId="0"/>
    <xf numFmtId="0" fontId="3" fillId="3" borderId="0" pivotButton="0" quotePrefix="0" xfId="0"/>
    <xf numFmtId="0" fontId="4" fillId="4" borderId="2" pivotButton="0" quotePrefix="0" xfId="0"/>
    <xf numFmtId="164" fontId="4" fillId="4" borderId="2" pivotButton="0" quotePrefix="0" xfId="0"/>
    <xf numFmtId="0" fontId="5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6" borderId="0" pivotButton="0" quotePrefix="0" xfId="0"/>
  </cellXfs>
  <cellStyles count="1">
    <cellStyle name="Normal" xfId="0" builtinId="0" hidden="0"/>
  </cellStyles>
  <dxfs count="3">
    <dxf>
      <font>
        <color rgb="00C0392B"/>
      </font>
      <fill>
        <patternFill>
          <bgColor rgb="00FDEDEC"/>
        </patternFill>
      </fill>
    </dxf>
    <dxf>
      <font>
        <color rgb="00D4820A"/>
      </font>
      <fill>
        <patternFill>
          <bgColor rgb="00FEF9E7"/>
        </patternFill>
      </fill>
    </dxf>
    <dxf>
      <font>
        <color rgb="001B7D46"/>
      </font>
      <fill>
        <patternFill>
          <bgColor rgb="00E8F5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9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28" customWidth="1" min="3" max="3"/>
    <col width="28" customWidth="1" min="4" max="4"/>
    <col width="55" customWidth="1" min="5" max="5"/>
    <col width="28" customWidth="1" min="6" max="6"/>
    <col width="12" customWidth="1" min="7" max="7"/>
    <col width="14" customWidth="1" min="8" max="8"/>
    <col width="20" customWidth="1" min="9" max="9"/>
    <col width="14" customWidth="1" min="10" max="10"/>
    <col width="20" customWidth="1" min="11" max="11"/>
    <col width="14" customWidth="1" min="12" max="12"/>
    <col width="20" customWidth="1" min="13" max="13"/>
    <col width="16" customWidth="1" min="14" max="14"/>
  </cols>
  <sheetData>
    <row r="1" ht="15" customHeight="1"/>
    <row r="2" ht="32" customHeight="1">
      <c r="B2" s="1" t="inlineStr">
        <is>
          <t>Met Mast Procurement Checklist</t>
        </is>
      </c>
    </row>
    <row r="3" ht="8" customHeight="1"/>
    <row r="4" ht="28" customHeight="1">
      <c r="B4" s="2" t="inlineStr">
        <is>
          <t>#</t>
        </is>
      </c>
      <c r="C4" s="2" t="inlineStr">
        <is>
          <t>Category</t>
        </is>
      </c>
      <c r="D4" s="2" t="inlineStr">
        <is>
          <t>Item</t>
        </is>
      </c>
      <c r="E4" s="2" t="inlineStr">
        <is>
          <t>Requirement / Specification</t>
        </is>
      </c>
      <c r="F4" s="2" t="inlineStr">
        <is>
          <t>Standard / Reference</t>
        </is>
      </c>
      <c r="G4" s="2" t="inlineStr">
        <is>
          <t>Priority</t>
        </is>
      </c>
      <c r="H4" s="2" t="inlineStr">
        <is>
          <t>Vendor A
Compliant?</t>
        </is>
      </c>
      <c r="I4" s="2" t="inlineStr">
        <is>
          <t>Vendor A
Notes</t>
        </is>
      </c>
      <c r="J4" s="2" t="inlineStr">
        <is>
          <t>Vendor B
Compliant?</t>
        </is>
      </c>
      <c r="K4" s="2" t="inlineStr">
        <is>
          <t>Vendor B
Notes</t>
        </is>
      </c>
      <c r="L4" s="2" t="inlineStr">
        <is>
          <t>Vendor C
Compliant?</t>
        </is>
      </c>
      <c r="M4" s="2" t="inlineStr">
        <is>
          <t>Vendor C
Notes</t>
        </is>
      </c>
      <c r="N4" s="2" t="inlineStr">
        <is>
          <t>Status</t>
        </is>
      </c>
    </row>
    <row r="5" ht="22" customHeight="1">
      <c r="B5" s="3" t="n">
        <v>1</v>
      </c>
      <c r="C5" s="4" t="inlineStr">
        <is>
          <t>1. Structural &amp; Design Specifications</t>
        </is>
      </c>
      <c r="D5" s="3" t="inlineStr">
        <is>
          <t>Mast Type</t>
        </is>
      </c>
      <c r="E5" s="3" t="inlineStr">
        <is>
          <t>Lattice tower (guyed or self-supporting) — specify based on site constraints</t>
        </is>
      </c>
      <c r="F5" s="3" t="inlineStr">
        <is>
          <t>IEC 61400-12-1</t>
        </is>
      </c>
      <c r="G5" s="3" t="inlineStr">
        <is>
          <t>Critical</t>
        </is>
      </c>
      <c r="H5" s="3" t="n"/>
      <c r="I5" s="3" t="n"/>
      <c r="J5" s="3" t="n"/>
      <c r="K5" s="3" t="n"/>
      <c r="L5" s="3" t="n"/>
      <c r="M5" s="3" t="inlineStr"/>
      <c r="N5" s="3" t="n"/>
    </row>
    <row r="6" ht="22" customHeight="1">
      <c r="B6" s="5" t="n">
        <v>2</v>
      </c>
      <c r="D6" s="5" t="inlineStr">
        <is>
          <t>Mast Height</t>
        </is>
      </c>
      <c r="E6" s="5" t="inlineStr">
        <is>
          <t>Must match or exceed proposed turbine hub height (80m / 100m / 120m / 140m)</t>
        </is>
      </c>
      <c r="F6" s="5" t="inlineStr">
        <is>
          <t>IEC 61400-12-1</t>
        </is>
      </c>
      <c r="G6" s="5" t="inlineStr">
        <is>
          <t>Critical</t>
        </is>
      </c>
      <c r="H6" s="5" t="n"/>
      <c r="I6" s="5" t="n"/>
      <c r="J6" s="5" t="n"/>
      <c r="K6" s="5" t="n"/>
      <c r="L6" s="5" t="n"/>
      <c r="M6" s="5" t="inlineStr"/>
      <c r="N6" s="5" t="n"/>
    </row>
    <row r="7" ht="22" customHeight="1">
      <c r="B7" s="6" t="n">
        <v>3</v>
      </c>
      <c r="D7" s="6" t="inlineStr">
        <is>
          <t>Design Standards Compliance</t>
        </is>
      </c>
      <c r="E7" s="6" t="inlineStr">
        <is>
          <t>Compliance with BS EN 1991 (Eurocode 1), BS EN 1993-3-1, and IEC 61400-12-1</t>
        </is>
      </c>
      <c r="F7" s="6" t="inlineStr">
        <is>
          <t>BS EN 1991 / BS EN 1993-3-1 / IEC 61400-12-1</t>
        </is>
      </c>
      <c r="G7" s="6" t="inlineStr">
        <is>
          <t>Critical</t>
        </is>
      </c>
      <c r="H7" s="6" t="n"/>
      <c r="I7" s="6" t="n"/>
      <c r="J7" s="6" t="n"/>
      <c r="K7" s="6" t="n"/>
      <c r="L7" s="6" t="n"/>
      <c r="M7" s="6" t="inlineStr"/>
      <c r="N7" s="6" t="n"/>
    </row>
    <row r="8" ht="22" customHeight="1">
      <c r="B8" s="5" t="n">
        <v>4</v>
      </c>
      <c r="D8" s="5" t="inlineStr">
        <is>
          <t>Structural Design Calculations</t>
        </is>
      </c>
      <c r="E8" s="5" t="inlineStr">
        <is>
          <t>Provide site-specific structural design calculations certified by qualified structural engineer</t>
        </is>
      </c>
      <c r="F8" s="5" t="inlineStr">
        <is>
          <t>BS EN 1993-3-1</t>
        </is>
      </c>
      <c r="G8" s="5" t="inlineStr">
        <is>
          <t>Critical</t>
        </is>
      </c>
      <c r="H8" s="5" t="n"/>
      <c r="I8" s="5" t="n"/>
      <c r="J8" s="5" t="n"/>
      <c r="K8" s="5" t="n"/>
      <c r="L8" s="5" t="n"/>
      <c r="M8" s="5" t="inlineStr"/>
      <c r="N8" s="5" t="n"/>
    </row>
    <row r="9" ht="22" customHeight="1">
      <c r="B9" s="6" t="n">
        <v>5</v>
      </c>
      <c r="D9" s="6" t="inlineStr">
        <is>
          <t>Wind Loading Design</t>
        </is>
      </c>
      <c r="E9" s="6" t="inlineStr">
        <is>
          <t>Design for 50-year return period 3-second gust wind speed as per site wind zone</t>
        </is>
      </c>
      <c r="F9" s="6" t="inlineStr">
        <is>
          <t>IS 875 Part 3 / BS EN 1991-1-4</t>
        </is>
      </c>
      <c r="G9" s="6" t="inlineStr">
        <is>
          <t>Critical</t>
        </is>
      </c>
      <c r="H9" s="6" t="n"/>
      <c r="I9" s="6" t="n"/>
      <c r="J9" s="6" t="n"/>
      <c r="K9" s="6" t="n"/>
      <c r="L9" s="6" t="n"/>
      <c r="M9" s="6" t="inlineStr"/>
      <c r="N9" s="6" t="n"/>
    </row>
    <row r="10" ht="22" customHeight="1">
      <c r="B10" s="5" t="n">
        <v>6</v>
      </c>
      <c r="D10" s="5" t="inlineStr">
        <is>
          <t>Ice Loading Design</t>
        </is>
      </c>
      <c r="E10" s="5" t="inlineStr">
        <is>
          <t>Specify radial ice thickness considered (25-50mm for cold regions)</t>
        </is>
      </c>
      <c r="F10" s="5" t="inlineStr">
        <is>
          <t>BS EN 1991-1-3 / IEC 61400-12-1</t>
        </is>
      </c>
      <c r="G10" s="5" t="inlineStr">
        <is>
          <t>High</t>
        </is>
      </c>
      <c r="H10" s="5" t="n"/>
      <c r="I10" s="5" t="n"/>
      <c r="J10" s="5" t="n"/>
      <c r="K10" s="5" t="n"/>
      <c r="L10" s="5" t="n"/>
      <c r="M10" s="5" t="inlineStr"/>
      <c r="N10" s="5" t="n"/>
    </row>
    <row r="11" ht="22" customHeight="1">
      <c r="B11" s="6" t="n">
        <v>7</v>
      </c>
      <c r="D11" s="6" t="inlineStr">
        <is>
          <t>Seismic Design</t>
        </is>
      </c>
      <c r="E11" s="6" t="inlineStr">
        <is>
          <t>Foundation and structure designed for site-specific seismic zone (IS 1893)</t>
        </is>
      </c>
      <c r="F11" s="6" t="inlineStr">
        <is>
          <t>IS 1893</t>
        </is>
      </c>
      <c r="G11" s="6" t="inlineStr">
        <is>
          <t>High</t>
        </is>
      </c>
      <c r="H11" s="6" t="n"/>
      <c r="I11" s="6" t="n"/>
      <c r="J11" s="6" t="n"/>
      <c r="K11" s="6" t="n"/>
      <c r="L11" s="6" t="n"/>
      <c r="M11" s="6" t="inlineStr"/>
      <c r="N11" s="6" t="n"/>
    </row>
    <row r="12" ht="22" customHeight="1">
      <c r="B12" s="5" t="n">
        <v>8</v>
      </c>
      <c r="D12" s="5" t="inlineStr">
        <is>
          <t>Survival Wind Speed</t>
        </is>
      </c>
      <c r="E12" s="5" t="inlineStr">
        <is>
          <t>Specify maximum survival wind speed and return period</t>
        </is>
      </c>
      <c r="F12" s="5" t="inlineStr">
        <is>
          <t>IEC 61400-12-1</t>
        </is>
      </c>
      <c r="G12" s="5" t="inlineStr">
        <is>
          <t>Critical</t>
        </is>
      </c>
      <c r="H12" s="5" t="n"/>
      <c r="I12" s="5" t="n"/>
      <c r="J12" s="5" t="n"/>
      <c r="K12" s="5" t="n"/>
      <c r="L12" s="5" t="n"/>
      <c r="M12" s="5" t="inlineStr"/>
      <c r="N12" s="5" t="n"/>
    </row>
    <row r="13" ht="22" customHeight="1">
      <c r="B13" s="6" t="n">
        <v>9</v>
      </c>
      <c r="D13" s="6" t="inlineStr">
        <is>
          <t>Design Life</t>
        </is>
      </c>
      <c r="E13" s="6" t="inlineStr">
        <is>
          <t>Minimum 20-year structural design life for the mast</t>
        </is>
      </c>
      <c r="F13" s="6" t="inlineStr">
        <is>
          <t>Industry Best Practice</t>
        </is>
      </c>
      <c r="G13" s="6" t="inlineStr">
        <is>
          <t>High</t>
        </is>
      </c>
      <c r="H13" s="6" t="n"/>
      <c r="I13" s="6" t="n"/>
      <c r="J13" s="6" t="n"/>
      <c r="K13" s="6" t="n"/>
      <c r="L13" s="6" t="n"/>
      <c r="M13" s="6" t="inlineStr"/>
      <c r="N13" s="6" t="n"/>
    </row>
    <row r="14" ht="22" customHeight="1">
      <c r="B14" s="5" t="n">
        <v>10</v>
      </c>
      <c r="D14" s="5" t="inlineStr">
        <is>
          <t>Third-Party Design Review</t>
        </is>
      </c>
      <c r="E14" s="5" t="inlineStr">
        <is>
          <t>Structural design reviewed and certified by independent structural engineer</t>
        </is>
      </c>
      <c r="F14" s="5" t="inlineStr">
        <is>
          <t>Industry Best Practice</t>
        </is>
      </c>
      <c r="G14" s="5" t="inlineStr">
        <is>
          <t>High</t>
        </is>
      </c>
      <c r="H14" s="5" t="n"/>
      <c r="I14" s="5" t="n"/>
      <c r="J14" s="5" t="n"/>
      <c r="K14" s="5" t="n"/>
      <c r="L14" s="5" t="n"/>
      <c r="M14" s="5" t="inlineStr"/>
      <c r="N14" s="5" t="n"/>
    </row>
    <row r="15" ht="22" customHeight="1">
      <c r="B15" s="3" t="n">
        <v>1</v>
      </c>
      <c r="C15" s="4" t="inlineStr">
        <is>
          <t>2. Anemometers (Wind Speed)</t>
        </is>
      </c>
      <c r="D15" s="3" t="inlineStr">
        <is>
          <t>Sensor Type</t>
        </is>
      </c>
      <c r="E15" s="3" t="inlineStr">
        <is>
          <t>Class 1 cup anemometers (e.g., Thies First Class, Riso P2546A)</t>
        </is>
      </c>
      <c r="F15" s="3" t="inlineStr">
        <is>
          <t>IEC 61400-12-1 Class 1</t>
        </is>
      </c>
      <c r="G15" s="3" t="inlineStr">
        <is>
          <t>Critical</t>
        </is>
      </c>
      <c r="H15" s="3" t="n"/>
      <c r="I15" s="3" t="n"/>
      <c r="J15" s="3" t="n"/>
      <c r="K15" s="3" t="n"/>
      <c r="L15" s="3" t="n"/>
      <c r="M15" s="3" t="inlineStr"/>
      <c r="N15" s="3" t="n"/>
    </row>
    <row r="16" ht="22" customHeight="1">
      <c r="B16" s="5" t="n">
        <v>2</v>
      </c>
      <c r="D16" s="5" t="inlineStr">
        <is>
          <t>Quantity per Height</t>
        </is>
      </c>
      <c r="E16" s="5" t="inlineStr">
        <is>
          <t>Minimum 2 anemometers per measurement height (primary + redundant)</t>
        </is>
      </c>
      <c r="F16" s="5" t="inlineStr">
        <is>
          <t>IEC 61400-12-1</t>
        </is>
      </c>
      <c r="G16" s="5" t="inlineStr">
        <is>
          <t>Critical</t>
        </is>
      </c>
      <c r="H16" s="5" t="n"/>
      <c r="I16" s="5" t="n"/>
      <c r="J16" s="5" t="n"/>
      <c r="K16" s="5" t="n"/>
      <c r="L16" s="5" t="n"/>
      <c r="M16" s="5" t="inlineStr"/>
      <c r="N16" s="5" t="n"/>
    </row>
    <row r="17" ht="22" customHeight="1">
      <c r="B17" s="6" t="n">
        <v>3</v>
      </c>
      <c r="D17" s="6" t="inlineStr">
        <is>
          <t>Number of Height Levels</t>
        </is>
      </c>
      <c r="E17" s="6" t="inlineStr">
        <is>
          <t>Minimum 3 levels: hub height, mid-height (~60m), and low level (~30-40m)</t>
        </is>
      </c>
      <c r="F17" s="6" t="inlineStr">
        <is>
          <t>IEC 61400-12-1 / IEA Recommendations</t>
        </is>
      </c>
      <c r="G17" s="6" t="inlineStr">
        <is>
          <t>Critical</t>
        </is>
      </c>
      <c r="H17" s="6" t="n"/>
      <c r="I17" s="6" t="n"/>
      <c r="J17" s="6" t="n"/>
      <c r="K17" s="6" t="n"/>
      <c r="L17" s="6" t="n"/>
      <c r="M17" s="6" t="inlineStr"/>
      <c r="N17" s="6" t="n"/>
    </row>
    <row r="18" ht="22" customHeight="1">
      <c r="B18" s="5" t="n">
        <v>4</v>
      </c>
      <c r="D18" s="5" t="inlineStr">
        <is>
          <t>Calibration</t>
        </is>
      </c>
      <c r="E18" s="5" t="inlineStr">
        <is>
          <t>Each anemometer individually calibrated in wind tunnel with MEASNET-traceable certificate</t>
        </is>
      </c>
      <c r="F18" s="5" t="inlineStr">
        <is>
          <t>MEASNET / IEC 61400-12-1</t>
        </is>
      </c>
      <c r="G18" s="5" t="inlineStr">
        <is>
          <t>Critical</t>
        </is>
      </c>
      <c r="H18" s="5" t="n"/>
      <c r="I18" s="5" t="n"/>
      <c r="J18" s="5" t="n"/>
      <c r="K18" s="5" t="n"/>
      <c r="L18" s="5" t="n"/>
      <c r="M18" s="5" t="inlineStr"/>
      <c r="N18" s="5" t="n"/>
    </row>
    <row r="19" ht="22" customHeight="1">
      <c r="B19" s="6" t="n">
        <v>5</v>
      </c>
      <c r="D19" s="6" t="inlineStr">
        <is>
          <t>Calibration Uncertainty</t>
        </is>
      </c>
      <c r="E19" s="6" t="inlineStr">
        <is>
          <t>Calibration uncertainty less than 1% of reading</t>
        </is>
      </c>
      <c r="F19" s="6" t="inlineStr">
        <is>
          <t>MEASNET</t>
        </is>
      </c>
      <c r="G19" s="6" t="inlineStr">
        <is>
          <t>Critical</t>
        </is>
      </c>
      <c r="H19" s="6" t="n"/>
      <c r="I19" s="6" t="n"/>
      <c r="J19" s="6" t="n"/>
      <c r="K19" s="6" t="n"/>
      <c r="L19" s="6" t="n"/>
      <c r="M19" s="6" t="inlineStr"/>
      <c r="N19" s="6" t="n"/>
    </row>
    <row r="20" ht="22" customHeight="1">
      <c r="B20" s="5" t="n">
        <v>6</v>
      </c>
      <c r="D20" s="5" t="inlineStr">
        <is>
          <t>Calibration Currency</t>
        </is>
      </c>
      <c r="E20" s="5" t="inlineStr">
        <is>
          <t>Calibration certificate less than 2 years old at time of installation</t>
        </is>
      </c>
      <c r="F20" s="5" t="inlineStr">
        <is>
          <t>IEC 61400-12-1</t>
        </is>
      </c>
      <c r="G20" s="5" t="inlineStr">
        <is>
          <t>High</t>
        </is>
      </c>
      <c r="H20" s="5" t="n"/>
      <c r="I20" s="5" t="n"/>
      <c r="J20" s="5" t="n"/>
      <c r="K20" s="5" t="n"/>
      <c r="L20" s="5" t="n"/>
      <c r="M20" s="5" t="inlineStr"/>
      <c r="N20" s="5" t="n"/>
    </row>
    <row r="21" ht="22" customHeight="1">
      <c r="B21" s="6" t="n">
        <v>7</v>
      </c>
      <c r="D21" s="6" t="inlineStr">
        <is>
          <t>Top-Mounted Anemometer</t>
        </is>
      </c>
      <c r="E21" s="6" t="inlineStr">
        <is>
          <t>Dedicated top pole anemometer at mast apex (avoids tower shadow)</t>
        </is>
      </c>
      <c r="F21" s="6" t="inlineStr">
        <is>
          <t>IEC 61400-12-1</t>
        </is>
      </c>
      <c r="G21" s="6" t="inlineStr">
        <is>
          <t>Critical</t>
        </is>
      </c>
      <c r="H21" s="6" t="n"/>
      <c r="I21" s="6" t="n"/>
      <c r="J21" s="6" t="n"/>
      <c r="K21" s="6" t="n"/>
      <c r="L21" s="6" t="n"/>
      <c r="M21" s="6" t="inlineStr"/>
      <c r="N21" s="6" t="n"/>
    </row>
    <row r="22" ht="22" customHeight="1">
      <c r="B22" s="5" t="n">
        <v>8</v>
      </c>
      <c r="D22" s="5" t="inlineStr">
        <is>
          <t>Boom Length (Side-Mounted)</t>
        </is>
      </c>
      <c r="E22" s="5" t="inlineStr">
        <is>
          <t>Minimum 6x mast face width (ideally 8-12x) from mast center to anemometer</t>
        </is>
      </c>
      <c r="F22" s="5" t="inlineStr">
        <is>
          <t>IEC 61400-12-1</t>
        </is>
      </c>
      <c r="G22" s="5" t="inlineStr">
        <is>
          <t>Critical</t>
        </is>
      </c>
      <c r="H22" s="5" t="n"/>
      <c r="I22" s="5" t="n"/>
      <c r="J22" s="5" t="n"/>
      <c r="K22" s="5" t="n"/>
      <c r="L22" s="5" t="n"/>
      <c r="M22" s="5" t="inlineStr"/>
      <c r="N22" s="5" t="n"/>
    </row>
    <row r="23" ht="22" customHeight="1">
      <c r="B23" s="6" t="n">
        <v>9</v>
      </c>
      <c r="D23" s="6" t="inlineStr">
        <is>
          <t>Boom Orientation</t>
        </is>
      </c>
      <c r="E23" s="6" t="inlineStr">
        <is>
          <t>Booms oriented to minimize tower shadow for prevailing wind directions</t>
        </is>
      </c>
      <c r="F23" s="6" t="inlineStr">
        <is>
          <t>IEC 61400-12-1</t>
        </is>
      </c>
      <c r="G23" s="6" t="inlineStr">
        <is>
          <t>High</t>
        </is>
      </c>
      <c r="H23" s="6" t="n"/>
      <c r="I23" s="6" t="n"/>
      <c r="J23" s="6" t="n"/>
      <c r="K23" s="6" t="n"/>
      <c r="L23" s="6" t="n"/>
      <c r="M23" s="6" t="inlineStr"/>
      <c r="N23" s="6" t="n"/>
    </row>
    <row r="24" ht="22" customHeight="1">
      <c r="B24" s="5" t="n">
        <v>10</v>
      </c>
      <c r="D24" s="5" t="inlineStr">
        <is>
          <t>Tower Shadow Correction</t>
        </is>
      </c>
      <c r="E24" s="5" t="inlineStr">
        <is>
          <t>Provide tower shadow correction methodology (wind tunnel data or IEC formulas)</t>
        </is>
      </c>
      <c r="F24" s="5" t="inlineStr">
        <is>
          <t>IEC 61400-12-1</t>
        </is>
      </c>
      <c r="G24" s="5" t="inlineStr">
        <is>
          <t>Critical</t>
        </is>
      </c>
      <c r="H24" s="5" t="n"/>
      <c r="I24" s="5" t="n"/>
      <c r="J24" s="5" t="n"/>
      <c r="K24" s="5" t="n"/>
      <c r="L24" s="5" t="n"/>
      <c r="M24" s="5" t="inlineStr"/>
      <c r="N24" s="5" t="n"/>
    </row>
    <row r="25" ht="22" customHeight="1">
      <c r="B25" s="3" t="n">
        <v>1</v>
      </c>
      <c r="C25" s="4" t="inlineStr">
        <is>
          <t>3. Wind Vanes (Wind Direction)</t>
        </is>
      </c>
      <c r="D25" s="3" t="inlineStr">
        <is>
          <t>Sensor Type</t>
        </is>
      </c>
      <c r="E25" s="3" t="inlineStr">
        <is>
          <t>Potentiometer or digital wind vane (e.g., Thies, NRG #200P)</t>
        </is>
      </c>
      <c r="F25" s="3" t="inlineStr">
        <is>
          <t>IEC 61400-12-1</t>
        </is>
      </c>
      <c r="G25" s="3" t="inlineStr">
        <is>
          <t>High</t>
        </is>
      </c>
      <c r="H25" s="3" t="n"/>
      <c r="I25" s="3" t="n"/>
      <c r="J25" s="3" t="n"/>
      <c r="K25" s="3" t="n"/>
      <c r="L25" s="3" t="n"/>
      <c r="M25" s="3" t="inlineStr"/>
      <c r="N25" s="3" t="n"/>
    </row>
    <row r="26" ht="22" customHeight="1">
      <c r="B26" s="5" t="n">
        <v>2</v>
      </c>
      <c r="D26" s="5" t="inlineStr">
        <is>
          <t>Quantity</t>
        </is>
      </c>
      <c r="E26" s="5" t="inlineStr">
        <is>
          <t>Minimum 2 vanes at different heights (hub height + mid-height)</t>
        </is>
      </c>
      <c r="F26" s="5" t="inlineStr">
        <is>
          <t>IEC 61400-12-1</t>
        </is>
      </c>
      <c r="G26" s="5" t="inlineStr">
        <is>
          <t>High</t>
        </is>
      </c>
      <c r="H26" s="5" t="n"/>
      <c r="I26" s="5" t="n"/>
      <c r="J26" s="5" t="n"/>
      <c r="K26" s="5" t="n"/>
      <c r="L26" s="5" t="n"/>
      <c r="M26" s="5" t="inlineStr"/>
      <c r="N26" s="5" t="n"/>
    </row>
    <row r="27" ht="22" customHeight="1">
      <c r="B27" s="6" t="n">
        <v>3</v>
      </c>
      <c r="D27" s="6" t="inlineStr">
        <is>
          <t>Dead Band</t>
        </is>
      </c>
      <c r="E27" s="6" t="inlineStr">
        <is>
          <t>Dead band less than 5 degrees</t>
        </is>
      </c>
      <c r="F27" s="6" t="inlineStr">
        <is>
          <t>IEC 61400-12-1</t>
        </is>
      </c>
      <c r="G27" s="6" t="inlineStr">
        <is>
          <t>High</t>
        </is>
      </c>
      <c r="H27" s="6" t="n"/>
      <c r="I27" s="6" t="n"/>
      <c r="J27" s="6" t="n"/>
      <c r="K27" s="6" t="n"/>
      <c r="L27" s="6" t="n"/>
      <c r="M27" s="6" t="inlineStr"/>
      <c r="N27" s="6" t="n"/>
    </row>
    <row r="28" ht="22" customHeight="1">
      <c r="B28" s="5" t="n">
        <v>4</v>
      </c>
      <c r="D28" s="5" t="inlineStr">
        <is>
          <t>Calibration</t>
        </is>
      </c>
      <c r="E28" s="5" t="inlineStr">
        <is>
          <t>Direction calibration certificate provided for each vane</t>
        </is>
      </c>
      <c r="F28" s="5" t="inlineStr">
        <is>
          <t>IEC 61400-12-1</t>
        </is>
      </c>
      <c r="G28" s="5" t="inlineStr">
        <is>
          <t>High</t>
        </is>
      </c>
      <c r="H28" s="5" t="n"/>
      <c r="I28" s="5" t="n"/>
      <c r="J28" s="5" t="n"/>
      <c r="K28" s="5" t="n"/>
      <c r="L28" s="5" t="n"/>
      <c r="M28" s="5" t="inlineStr"/>
      <c r="N28" s="5" t="n"/>
    </row>
    <row r="29" ht="22" customHeight="1">
      <c r="B29" s="6" t="n">
        <v>5</v>
      </c>
      <c r="D29" s="6" t="inlineStr">
        <is>
          <t>Boom Mounting</t>
        </is>
      </c>
      <c r="E29" s="6" t="inlineStr">
        <is>
          <t>Side-mounted on dedicated booms, offset from anemometer booms to avoid interference</t>
        </is>
      </c>
      <c r="F29" s="6" t="inlineStr">
        <is>
          <t>IEC 61400-12-1</t>
        </is>
      </c>
      <c r="G29" s="6" t="inlineStr">
        <is>
          <t>High</t>
        </is>
      </c>
      <c r="H29" s="6" t="n"/>
      <c r="I29" s="6" t="n"/>
      <c r="J29" s="6" t="n"/>
      <c r="K29" s="6" t="n"/>
      <c r="L29" s="6" t="n"/>
      <c r="M29" s="6" t="inlineStr"/>
      <c r="N29" s="6" t="n"/>
    </row>
    <row r="30" ht="22" customHeight="1">
      <c r="B30" s="3" t="n">
        <v>1</v>
      </c>
      <c r="C30" s="4" t="inlineStr">
        <is>
          <t>4. Temperature &amp; Other Sensors</t>
        </is>
      </c>
      <c r="D30" s="3" t="inlineStr">
        <is>
          <t>Temperature Sensors</t>
        </is>
      </c>
      <c r="E30" s="3" t="inlineStr">
        <is>
          <t>Minimum 2 sensors — one at hub height, one near ground level</t>
        </is>
      </c>
      <c r="F30" s="3" t="inlineStr">
        <is>
          <t>IEC 61400-12-1</t>
        </is>
      </c>
      <c r="G30" s="3" t="inlineStr">
        <is>
          <t>High</t>
        </is>
      </c>
      <c r="H30" s="3" t="n"/>
      <c r="I30" s="3" t="n"/>
      <c r="J30" s="3" t="n"/>
      <c r="K30" s="3" t="n"/>
      <c r="L30" s="3" t="n"/>
      <c r="M30" s="3" t="inlineStr"/>
      <c r="N30" s="3" t="n"/>
    </row>
    <row r="31" ht="22" customHeight="1">
      <c r="B31" s="6" t="n">
        <v>2</v>
      </c>
      <c r="D31" s="6" t="inlineStr">
        <is>
          <t>Temperature Sensor Type</t>
        </is>
      </c>
      <c r="E31" s="6" t="inlineStr">
        <is>
          <t>PT100 or shielded thermistor with radiation shield (e.g., NRG #110S)</t>
        </is>
      </c>
      <c r="F31" s="6" t="inlineStr">
        <is>
          <t>IEC 61400-12-1</t>
        </is>
      </c>
      <c r="G31" s="6" t="inlineStr">
        <is>
          <t>High</t>
        </is>
      </c>
      <c r="H31" s="6" t="n"/>
      <c r="I31" s="6" t="n"/>
      <c r="J31" s="6" t="n"/>
      <c r="K31" s="6" t="n"/>
      <c r="L31" s="6" t="n"/>
      <c r="M31" s="6" t="inlineStr"/>
      <c r="N31" s="6" t="n"/>
    </row>
    <row r="32" ht="22" customHeight="1">
      <c r="B32" s="5" t="n">
        <v>3</v>
      </c>
      <c r="D32" s="5" t="inlineStr">
        <is>
          <t>Temperature Accuracy</t>
        </is>
      </c>
      <c r="E32" s="5" t="inlineStr">
        <is>
          <t>Accuracy of +/-0.3 deg C or better</t>
        </is>
      </c>
      <c r="F32" s="5" t="inlineStr">
        <is>
          <t>IEC 61400-12-1</t>
        </is>
      </c>
      <c r="G32" s="5" t="inlineStr">
        <is>
          <t>High</t>
        </is>
      </c>
      <c r="H32" s="5" t="n"/>
      <c r="I32" s="5" t="n"/>
      <c r="J32" s="5" t="n"/>
      <c r="K32" s="5" t="n"/>
      <c r="L32" s="5" t="n"/>
      <c r="M32" s="5" t="inlineStr"/>
      <c r="N32" s="5" t="n"/>
    </row>
    <row r="33" ht="22" customHeight="1">
      <c r="B33" s="6" t="n">
        <v>4</v>
      </c>
      <c r="D33" s="6" t="inlineStr">
        <is>
          <t>Radiation Shield</t>
        </is>
      </c>
      <c r="E33" s="6" t="inlineStr">
        <is>
          <t>All temperature sensors equipped with radiation shields</t>
        </is>
      </c>
      <c r="F33" s="6" t="inlineStr">
        <is>
          <t>IEC 61400-12-1</t>
        </is>
      </c>
      <c r="G33" s="6" t="inlineStr">
        <is>
          <t>High</t>
        </is>
      </c>
      <c r="H33" s="6" t="n"/>
      <c r="I33" s="6" t="n"/>
      <c r="J33" s="6" t="n"/>
      <c r="K33" s="6" t="n"/>
      <c r="L33" s="6" t="n"/>
      <c r="M33" s="6" t="inlineStr"/>
      <c r="N33" s="6" t="n"/>
    </row>
    <row r="34" ht="22" customHeight="1">
      <c r="B34" s="5" t="n">
        <v>5</v>
      </c>
      <c r="D34" s="5" t="inlineStr">
        <is>
          <t>Barometric Pressure Sensor</t>
        </is>
      </c>
      <c r="E34" s="5" t="inlineStr">
        <is>
          <t>Accuracy +/-1 hPa or better; mounted in weatherproof enclosure at mast base</t>
        </is>
      </c>
      <c r="F34" s="5" t="inlineStr">
        <is>
          <t>IEC 61400-12-1</t>
        </is>
      </c>
      <c r="G34" s="5" t="inlineStr">
        <is>
          <t>High</t>
        </is>
      </c>
      <c r="H34" s="5" t="n"/>
      <c r="I34" s="5" t="n"/>
      <c r="J34" s="5" t="n"/>
      <c r="K34" s="5" t="n"/>
      <c r="L34" s="5" t="n"/>
      <c r="M34" s="5" t="inlineStr"/>
      <c r="N34" s="5" t="n"/>
    </row>
    <row r="35" ht="22" customHeight="1">
      <c r="B35" s="6" t="n">
        <v>6</v>
      </c>
      <c r="D35" s="6" t="inlineStr">
        <is>
          <t>Relative Humidity Sensor</t>
        </is>
      </c>
      <c r="E35" s="6" t="inlineStr">
        <is>
          <t>Mounted in sheltered enclosure; used for air density correction and icing detection</t>
        </is>
      </c>
      <c r="F35" s="6" t="inlineStr">
        <is>
          <t>Industry Best Practice</t>
        </is>
      </c>
      <c r="G35" s="6" t="inlineStr">
        <is>
          <t>Medium</t>
        </is>
      </c>
      <c r="H35" s="6" t="n"/>
      <c r="I35" s="6" t="n"/>
      <c r="J35" s="6" t="n"/>
      <c r="K35" s="6" t="n"/>
      <c r="L35" s="6" t="n"/>
      <c r="M35" s="6" t="inlineStr"/>
      <c r="N35" s="6" t="n"/>
    </row>
    <row r="36" ht="22" customHeight="1">
      <c r="B36" s="5" t="n">
        <v>7</v>
      </c>
      <c r="D36" s="5" t="inlineStr">
        <is>
          <t>Rain Gauge (Optional)</t>
        </is>
      </c>
      <c r="E36" s="5" t="inlineStr">
        <is>
          <t>Tipping bucket type; for correlating data gaps with rain events</t>
        </is>
      </c>
      <c r="F36" s="5" t="inlineStr">
        <is>
          <t>Industry Best Practice</t>
        </is>
      </c>
      <c r="G36" s="5" t="inlineStr">
        <is>
          <t>Low</t>
        </is>
      </c>
      <c r="H36" s="5" t="n"/>
      <c r="I36" s="5" t="n"/>
      <c r="J36" s="5" t="n"/>
      <c r="K36" s="5" t="n"/>
      <c r="L36" s="5" t="n"/>
      <c r="M36" s="5" t="inlineStr"/>
      <c r="N36" s="5" t="n"/>
    </row>
    <row r="37" ht="22" customHeight="1">
      <c r="B37" s="3" t="n">
        <v>1</v>
      </c>
      <c r="C37" s="4" t="inlineStr">
        <is>
          <t>5. Data Logger &amp; Communication</t>
        </is>
      </c>
      <c r="D37" s="3" t="inlineStr">
        <is>
          <t>Data Logger Model</t>
        </is>
      </c>
      <c r="E37" s="3" t="inlineStr">
        <is>
          <t>Industry-standard: NRG SymphoniePRO, Ammonit Meteo-42, Campbell CR6, or Wicom Loggy</t>
        </is>
      </c>
      <c r="F37" s="3" t="inlineStr">
        <is>
          <t>IEC 61400-12-1</t>
        </is>
      </c>
      <c r="G37" s="3" t="inlineStr">
        <is>
          <t>Critical</t>
        </is>
      </c>
      <c r="H37" s="3" t="n"/>
      <c r="I37" s="3" t="n"/>
      <c r="J37" s="3" t="n"/>
      <c r="K37" s="3" t="n"/>
      <c r="L37" s="3" t="n"/>
      <c r="M37" s="3" t="inlineStr"/>
      <c r="N37" s="3" t="n"/>
    </row>
    <row r="38" ht="22" customHeight="1">
      <c r="B38" s="5" t="n">
        <v>2</v>
      </c>
      <c r="D38" s="5" t="inlineStr">
        <is>
          <t>Number of Channels</t>
        </is>
      </c>
      <c r="E38" s="5" t="inlineStr">
        <is>
          <t>Sufficient channels for all sensors (minimum 12-16 analog + counter channels)</t>
        </is>
      </c>
      <c r="F38" s="5" t="inlineStr">
        <is>
          <t>IEC 61400-12-1</t>
        </is>
      </c>
      <c r="G38" s="5" t="inlineStr">
        <is>
          <t>Critical</t>
        </is>
      </c>
      <c r="H38" s="5" t="n"/>
      <c r="I38" s="5" t="n"/>
      <c r="J38" s="5" t="n"/>
      <c r="K38" s="5" t="n"/>
      <c r="L38" s="5" t="n"/>
      <c r="M38" s="5" t="inlineStr"/>
      <c r="N38" s="5" t="n"/>
    </row>
    <row r="39" ht="22" customHeight="1">
      <c r="B39" s="6" t="n">
        <v>3</v>
      </c>
      <c r="D39" s="6" t="inlineStr">
        <is>
          <t>Sampling Rate</t>
        </is>
      </c>
      <c r="E39" s="6" t="inlineStr">
        <is>
          <t>Minimum 1 Hz sampling with 10-minute averaging (mean, max, min, std dev)</t>
        </is>
      </c>
      <c r="F39" s="6" t="inlineStr">
        <is>
          <t>IEC 61400-12-1</t>
        </is>
      </c>
      <c r="G39" s="6" t="inlineStr">
        <is>
          <t>Critical</t>
        </is>
      </c>
      <c r="H39" s="6" t="n"/>
      <c r="I39" s="6" t="n"/>
      <c r="J39" s="6" t="n"/>
      <c r="K39" s="6" t="n"/>
      <c r="L39" s="6" t="n"/>
      <c r="M39" s="6" t="inlineStr"/>
      <c r="N39" s="6" t="n"/>
    </row>
    <row r="40" ht="22" customHeight="1">
      <c r="B40" s="5" t="n">
        <v>4</v>
      </c>
      <c r="D40" s="5" t="inlineStr">
        <is>
          <t>Data Storage</t>
        </is>
      </c>
      <c r="E40" s="5" t="inlineStr">
        <is>
          <t>SD card + internal memory for minimum 6 months of data backup</t>
        </is>
      </c>
      <c r="F40" s="5" t="inlineStr">
        <is>
          <t>Industry Best Practice</t>
        </is>
      </c>
      <c r="G40" s="5" t="inlineStr">
        <is>
          <t>High</t>
        </is>
      </c>
      <c r="H40" s="5" t="n"/>
      <c r="I40" s="5" t="n"/>
      <c r="J40" s="5" t="n"/>
      <c r="K40" s="5" t="n"/>
      <c r="L40" s="5" t="n"/>
      <c r="M40" s="5" t="inlineStr"/>
      <c r="N40" s="5" t="n"/>
    </row>
    <row r="41" ht="22" customHeight="1">
      <c r="B41" s="6" t="n">
        <v>5</v>
      </c>
      <c r="D41" s="6" t="inlineStr">
        <is>
          <t>Clock Accuracy</t>
        </is>
      </c>
      <c r="E41" s="6" t="inlineStr">
        <is>
          <t>+/-1 minute per month or better; GPS-synchronized clock preferred</t>
        </is>
      </c>
      <c r="F41" s="6" t="inlineStr">
        <is>
          <t>IEC 61400-12-1</t>
        </is>
      </c>
      <c r="G41" s="6" t="inlineStr">
        <is>
          <t>High</t>
        </is>
      </c>
      <c r="H41" s="6" t="n"/>
      <c r="I41" s="6" t="n"/>
      <c r="J41" s="6" t="n"/>
      <c r="K41" s="6" t="n"/>
      <c r="L41" s="6" t="n"/>
      <c r="M41" s="6" t="inlineStr"/>
      <c r="N41" s="6" t="n"/>
    </row>
    <row r="42" ht="22" customHeight="1">
      <c r="B42" s="5" t="n">
        <v>6</v>
      </c>
      <c r="D42" s="5" t="inlineStr">
        <is>
          <t>Primary Communication</t>
        </is>
      </c>
      <c r="E42" s="5" t="inlineStr">
        <is>
          <t>4G/LTE cellular modem for real-time data transfer to cloud/FTP server</t>
        </is>
      </c>
      <c r="F42" s="5" t="inlineStr">
        <is>
          <t>Industry Best Practice</t>
        </is>
      </c>
      <c r="G42" s="5" t="inlineStr">
        <is>
          <t>High</t>
        </is>
      </c>
      <c r="H42" s="5" t="n"/>
      <c r="I42" s="5" t="n"/>
      <c r="J42" s="5" t="n"/>
      <c r="K42" s="5" t="n"/>
      <c r="L42" s="5" t="n"/>
      <c r="M42" s="5" t="inlineStr"/>
      <c r="N42" s="5" t="n"/>
    </row>
    <row r="43" ht="22" customHeight="1">
      <c r="B43" s="6" t="n">
        <v>7</v>
      </c>
      <c r="D43" s="6" t="inlineStr">
        <is>
          <t>Backup Communication</t>
        </is>
      </c>
      <c r="E43" s="6" t="inlineStr">
        <is>
          <t>Satellite modem (Iridium, etc.) for remote sites without cellular coverage</t>
        </is>
      </c>
      <c r="F43" s="6" t="inlineStr">
        <is>
          <t>Industry Best Practice</t>
        </is>
      </c>
      <c r="G43" s="6" t="inlineStr">
        <is>
          <t>Medium</t>
        </is>
      </c>
      <c r="H43" s="6" t="n"/>
      <c r="I43" s="6" t="n"/>
      <c r="J43" s="6" t="n"/>
      <c r="K43" s="6" t="n"/>
      <c r="L43" s="6" t="n"/>
      <c r="M43" s="6" t="inlineStr"/>
      <c r="N43" s="6" t="n"/>
    </row>
    <row r="44" ht="22" customHeight="1">
      <c r="B44" s="5" t="n">
        <v>8</v>
      </c>
      <c r="D44" s="5" t="inlineStr">
        <is>
          <t>Data Format</t>
        </is>
      </c>
      <c r="E44" s="5" t="inlineStr">
        <is>
          <t>Compatible with analysis software (Windographer, WAsP): RWD, SDAT, or CSV</t>
        </is>
      </c>
      <c r="F44" s="5" t="inlineStr">
        <is>
          <t>Industry Best Practice</t>
        </is>
      </c>
      <c r="G44" s="5" t="inlineStr">
        <is>
          <t>High</t>
        </is>
      </c>
      <c r="H44" s="5" t="n"/>
      <c r="I44" s="5" t="n"/>
      <c r="J44" s="5" t="n"/>
      <c r="K44" s="5" t="n"/>
      <c r="L44" s="5" t="n"/>
      <c r="M44" s="5" t="inlineStr"/>
      <c r="N44" s="5" t="n"/>
    </row>
    <row r="45" ht="22" customHeight="1">
      <c r="B45" s="6" t="n">
        <v>9</v>
      </c>
      <c r="D45" s="6" t="inlineStr">
        <is>
          <t>Remote Diagnostics</t>
        </is>
      </c>
      <c r="E45" s="6" t="inlineStr">
        <is>
          <t>Ability to remotely check logger status, battery, and sensor health</t>
        </is>
      </c>
      <c r="F45" s="6" t="inlineStr">
        <is>
          <t>Industry Best Practice</t>
        </is>
      </c>
      <c r="G45" s="6" t="inlineStr">
        <is>
          <t>Medium</t>
        </is>
      </c>
      <c r="H45" s="6" t="n"/>
      <c r="I45" s="6" t="n"/>
      <c r="J45" s="6" t="n"/>
      <c r="K45" s="6" t="n"/>
      <c r="L45" s="6" t="n"/>
      <c r="M45" s="6" t="inlineStr"/>
      <c r="N45" s="6" t="n"/>
    </row>
    <row r="46" ht="22" customHeight="1">
      <c r="B46" s="3" t="n">
        <v>1</v>
      </c>
      <c r="C46" s="4" t="inlineStr">
        <is>
          <t>6. Lightning Protection</t>
        </is>
      </c>
      <c r="D46" s="3" t="inlineStr">
        <is>
          <t>Air Terminals</t>
        </is>
      </c>
      <c r="E46" s="3" t="inlineStr">
        <is>
          <t>Franklin rods or ESE type at mast top</t>
        </is>
      </c>
      <c r="F46" s="3" t="inlineStr">
        <is>
          <t>IEC 62305</t>
        </is>
      </c>
      <c r="G46" s="3" t="inlineStr">
        <is>
          <t>Critical</t>
        </is>
      </c>
      <c r="H46" s="3" t="n"/>
      <c r="I46" s="3" t="n"/>
      <c r="J46" s="3" t="n"/>
      <c r="K46" s="3" t="n"/>
      <c r="L46" s="3" t="n"/>
      <c r="M46" s="3" t="inlineStr"/>
      <c r="N46" s="3" t="n"/>
    </row>
    <row r="47" ht="22" customHeight="1">
      <c r="B47" s="6" t="n">
        <v>2</v>
      </c>
      <c r="D47" s="6" t="inlineStr">
        <is>
          <t>Down Conductors</t>
        </is>
      </c>
      <c r="E47" s="6" t="inlineStr">
        <is>
          <t>Minimum 2 down conductors from top to grounding ring, bonded to structure</t>
        </is>
      </c>
      <c r="F47" s="6" t="inlineStr">
        <is>
          <t>IEC 62305</t>
        </is>
      </c>
      <c r="G47" s="6" t="inlineStr">
        <is>
          <t>Critical</t>
        </is>
      </c>
      <c r="H47" s="6" t="n"/>
      <c r="I47" s="6" t="n"/>
      <c r="J47" s="6" t="n"/>
      <c r="K47" s="6" t="n"/>
      <c r="L47" s="6" t="n"/>
      <c r="M47" s="6" t="inlineStr"/>
      <c r="N47" s="6" t="n"/>
    </row>
    <row r="48" ht="22" customHeight="1">
      <c r="B48" s="5" t="n">
        <v>3</v>
      </c>
      <c r="D48" s="5" t="inlineStr">
        <is>
          <t>Grounding System</t>
        </is>
      </c>
      <c r="E48" s="5" t="inlineStr">
        <is>
          <t>Ring earth electrode with ground rods; resistance less than 10 ohms</t>
        </is>
      </c>
      <c r="F48" s="5" t="inlineStr">
        <is>
          <t>IEC 62305</t>
        </is>
      </c>
      <c r="G48" s="5" t="inlineStr">
        <is>
          <t>Critical</t>
        </is>
      </c>
      <c r="H48" s="5" t="n"/>
      <c r="I48" s="5" t="n"/>
      <c r="J48" s="5" t="n"/>
      <c r="K48" s="5" t="n"/>
      <c r="L48" s="5" t="n"/>
      <c r="M48" s="5" t="inlineStr"/>
      <c r="N48" s="5" t="n"/>
    </row>
    <row r="49" ht="22" customHeight="1">
      <c r="B49" s="6" t="n">
        <v>4</v>
      </c>
      <c r="D49" s="6" t="inlineStr">
        <is>
          <t>Surge Protective Devices</t>
        </is>
      </c>
      <c r="E49" s="6" t="inlineStr">
        <is>
          <t>SPDs on all sensor cables and data logger power supply</t>
        </is>
      </c>
      <c r="F49" s="6" t="inlineStr">
        <is>
          <t>IEC 62305</t>
        </is>
      </c>
      <c r="G49" s="6" t="inlineStr">
        <is>
          <t>Critical</t>
        </is>
      </c>
      <c r="H49" s="6" t="n"/>
      <c r="I49" s="6" t="n"/>
      <c r="J49" s="6" t="n"/>
      <c r="K49" s="6" t="n"/>
      <c r="L49" s="6" t="n"/>
      <c r="M49" s="6" t="inlineStr"/>
      <c r="N49" s="6" t="n"/>
    </row>
    <row r="50" ht="22" customHeight="1">
      <c r="B50" s="5" t="n">
        <v>5</v>
      </c>
      <c r="D50" s="5" t="inlineStr">
        <is>
          <t>LPS Compliance</t>
        </is>
      </c>
      <c r="E50" s="5" t="inlineStr">
        <is>
          <t>Complete lightning protection system complies with IEC 62305</t>
        </is>
      </c>
      <c r="F50" s="5" t="inlineStr">
        <is>
          <t>IEC 62305</t>
        </is>
      </c>
      <c r="G50" s="5" t="inlineStr">
        <is>
          <t>Critical</t>
        </is>
      </c>
      <c r="H50" s="5" t="n"/>
      <c r="I50" s="5" t="n"/>
      <c r="J50" s="5" t="n"/>
      <c r="K50" s="5" t="n"/>
      <c r="L50" s="5" t="n"/>
      <c r="M50" s="5" t="inlineStr"/>
      <c r="N50" s="5" t="n"/>
    </row>
    <row r="51" ht="22" customHeight="1">
      <c r="B51" s="6" t="n">
        <v>6</v>
      </c>
      <c r="D51" s="6" t="inlineStr">
        <is>
          <t>Grounding Resistance Guarantee</t>
        </is>
      </c>
      <c r="E51" s="6" t="inlineStr">
        <is>
          <t>Vendor guarantees grounding resistance below 10 ohms after installation</t>
        </is>
      </c>
      <c r="F51" s="6" t="inlineStr">
        <is>
          <t>IEC 62305</t>
        </is>
      </c>
      <c r="G51" s="6" t="inlineStr">
        <is>
          <t>High</t>
        </is>
      </c>
      <c r="H51" s="6" t="n"/>
      <c r="I51" s="6" t="n"/>
      <c r="J51" s="6" t="n"/>
      <c r="K51" s="6" t="n"/>
      <c r="L51" s="6" t="n"/>
      <c r="M51" s="6" t="inlineStr"/>
      <c r="N51" s="6" t="n"/>
    </row>
    <row r="52" ht="22" customHeight="1">
      <c r="B52" s="3" t="n">
        <v>1</v>
      </c>
      <c r="C52" s="4" t="inlineStr">
        <is>
          <t>7. Aviation Obstacle Lighting &amp; Marking</t>
        </is>
      </c>
      <c r="D52" s="3" t="inlineStr">
        <is>
          <t>Aviation Warning Light</t>
        </is>
      </c>
      <c r="E52" s="3" t="inlineStr">
        <is>
          <t>Low-intensity red flashing light (Type A or B per ICAO Annex 14)</t>
        </is>
      </c>
      <c r="F52" s="3" t="inlineStr">
        <is>
          <t>ICAO Annex 14 / DGCA</t>
        </is>
      </c>
      <c r="G52" s="3" t="inlineStr">
        <is>
          <t>High</t>
        </is>
      </c>
      <c r="H52" s="3" t="n"/>
      <c r="I52" s="3" t="n"/>
      <c r="J52" s="3" t="n"/>
      <c r="K52" s="3" t="n"/>
      <c r="L52" s="3" t="n"/>
      <c r="M52" s="3" t="inlineStr"/>
      <c r="N52" s="3" t="n"/>
    </row>
    <row r="53" ht="22" customHeight="1">
      <c r="B53" s="6" t="n">
        <v>2</v>
      </c>
      <c r="D53" s="6" t="inlineStr">
        <is>
          <t>Light Power Source</t>
        </is>
      </c>
      <c r="E53" s="6" t="inlineStr">
        <is>
          <t>Solar-powered with battery backup (minimum 48 hours autonomy)</t>
        </is>
      </c>
      <c r="F53" s="6" t="inlineStr">
        <is>
          <t>Industry Best Practice</t>
        </is>
      </c>
      <c r="G53" s="6" t="inlineStr">
        <is>
          <t>High</t>
        </is>
      </c>
      <c r="H53" s="6" t="n"/>
      <c r="I53" s="6" t="n"/>
      <c r="J53" s="6" t="n"/>
      <c r="K53" s="6" t="n"/>
      <c r="L53" s="6" t="n"/>
      <c r="M53" s="6" t="inlineStr"/>
      <c r="N53" s="6" t="n"/>
    </row>
    <row r="54" ht="22" customHeight="1">
      <c r="B54" s="5" t="n">
        <v>3</v>
      </c>
      <c r="D54" s="5" t="inlineStr">
        <is>
          <t>Regulatory Compliance</t>
        </is>
      </c>
      <c r="E54" s="5" t="inlineStr">
        <is>
          <t>Compliant with AAI/DGCA requirements for structures above 60m</t>
        </is>
      </c>
      <c r="F54" s="5" t="inlineStr">
        <is>
          <t>AAI / DGCA</t>
        </is>
      </c>
      <c r="G54" s="5" t="inlineStr">
        <is>
          <t>Critical</t>
        </is>
      </c>
      <c r="H54" s="5" t="n"/>
      <c r="I54" s="5" t="n"/>
      <c r="J54" s="5" t="n"/>
      <c r="K54" s="5" t="n"/>
      <c r="L54" s="5" t="n"/>
      <c r="M54" s="5" t="inlineStr"/>
      <c r="N54" s="5" t="n"/>
    </row>
    <row r="55" ht="22" customHeight="1">
      <c r="B55" s="6" t="n">
        <v>4</v>
      </c>
      <c r="D55" s="6" t="inlineStr">
        <is>
          <t>Aviation Painting</t>
        </is>
      </c>
      <c r="E55" s="6" t="inlineStr">
        <is>
          <t>Alternate bands of orange/white or red/white on mast structure</t>
        </is>
      </c>
      <c r="F55" s="6" t="inlineStr">
        <is>
          <t>ICAO / Local Aviation Authority</t>
        </is>
      </c>
      <c r="G55" s="6" t="inlineStr">
        <is>
          <t>High</t>
        </is>
      </c>
      <c r="H55" s="6" t="n"/>
      <c r="I55" s="6" t="n"/>
      <c r="J55" s="6" t="n"/>
      <c r="K55" s="6" t="n"/>
      <c r="L55" s="6" t="n"/>
      <c r="M55" s="6" t="inlineStr"/>
      <c r="N55" s="6" t="n"/>
    </row>
    <row r="56" ht="22" customHeight="1">
      <c r="B56" s="3" t="n">
        <v>1</v>
      </c>
      <c r="C56" s="4" t="inlineStr">
        <is>
          <t>8. Corrosion Protection &amp; Durability</t>
        </is>
      </c>
      <c r="D56" s="3" t="inlineStr">
        <is>
          <t>Galvanization Standard</t>
        </is>
      </c>
      <c r="E56" s="3" t="inlineStr">
        <is>
          <t>Hot-dip galvanized per IS 2629 / IS 2633 or equivalent</t>
        </is>
      </c>
      <c r="F56" s="3" t="inlineStr">
        <is>
          <t>IS 2629 / IS 2633</t>
        </is>
      </c>
      <c r="G56" s="3" t="inlineStr">
        <is>
          <t>Critical</t>
        </is>
      </c>
      <c r="H56" s="3" t="n"/>
      <c r="I56" s="3" t="n"/>
      <c r="J56" s="3" t="n"/>
      <c r="K56" s="3" t="n"/>
      <c r="L56" s="3" t="n"/>
      <c r="M56" s="3" t="inlineStr"/>
      <c r="N56" s="3" t="n"/>
    </row>
    <row r="57" ht="22" customHeight="1">
      <c r="B57" s="6" t="n">
        <v>2</v>
      </c>
      <c r="D57" s="6" t="inlineStr">
        <is>
          <t>Zinc Coating Thickness</t>
        </is>
      </c>
      <c r="E57" s="6" t="inlineStr">
        <is>
          <t>Minimum 86 microns for structural members</t>
        </is>
      </c>
      <c r="F57" s="6" t="inlineStr">
        <is>
          <t>IS 2629 / IS 2633</t>
        </is>
      </c>
      <c r="G57" s="6" t="inlineStr">
        <is>
          <t>Critical</t>
        </is>
      </c>
      <c r="H57" s="6" t="n"/>
      <c r="I57" s="6" t="n"/>
      <c r="J57" s="6" t="n"/>
      <c r="K57" s="6" t="n"/>
      <c r="L57" s="6" t="n"/>
      <c r="M57" s="6" t="inlineStr"/>
      <c r="N57" s="6" t="n"/>
    </row>
    <row r="58" ht="22" customHeight="1">
      <c r="B58" s="5" t="n">
        <v>3</v>
      </c>
      <c r="D58" s="5" t="inlineStr">
        <is>
          <t>Service Life in Coastal/Industrial</t>
        </is>
      </c>
      <c r="E58" s="5" t="inlineStr">
        <is>
          <t>Expected structural service life minimum 20 years in specified environment</t>
        </is>
      </c>
      <c r="F58" s="5" t="inlineStr">
        <is>
          <t>Industry Best Practice</t>
        </is>
      </c>
      <c r="G58" s="5" t="inlineStr">
        <is>
          <t>High</t>
        </is>
      </c>
      <c r="H58" s="5" t="n"/>
      <c r="I58" s="5" t="n"/>
      <c r="J58" s="5" t="n"/>
      <c r="K58" s="5" t="n"/>
      <c r="L58" s="5" t="n"/>
      <c r="M58" s="5" t="inlineStr"/>
      <c r="N58" s="5" t="n"/>
    </row>
    <row r="59" ht="22" customHeight="1">
      <c r="B59" s="6" t="n">
        <v>4</v>
      </c>
      <c r="D59" s="6" t="inlineStr">
        <is>
          <t>Bolt Specification</t>
        </is>
      </c>
      <c r="E59" s="6" t="inlineStr">
        <is>
          <t>High-strength friction grip (HSFG) bolts per IS 4000 or equivalent for all connections</t>
        </is>
      </c>
      <c r="F59" s="6" t="inlineStr">
        <is>
          <t>IS 4000</t>
        </is>
      </c>
      <c r="G59" s="6" t="inlineStr">
        <is>
          <t>High</t>
        </is>
      </c>
      <c r="H59" s="6" t="n"/>
      <c r="I59" s="6" t="n"/>
      <c r="J59" s="6" t="n"/>
      <c r="K59" s="6" t="n"/>
      <c r="L59" s="6" t="n"/>
      <c r="M59" s="6" t="inlineStr"/>
      <c r="N59" s="6" t="n"/>
    </row>
    <row r="60" ht="22" customHeight="1">
      <c r="B60" s="5" t="n">
        <v>5</v>
      </c>
      <c r="D60" s="5" t="inlineStr">
        <is>
          <t>Welding Standard</t>
        </is>
      </c>
      <c r="E60" s="5" t="inlineStr">
        <is>
          <t>Welding by qualified welders per IS 816 / AWS D1.1 with qualified procedures</t>
        </is>
      </c>
      <c r="F60" s="5" t="inlineStr">
        <is>
          <t>IS 816 / AWS D1.1</t>
        </is>
      </c>
      <c r="G60" s="5" t="inlineStr">
        <is>
          <t>High</t>
        </is>
      </c>
      <c r="H60" s="5" t="n"/>
      <c r="I60" s="5" t="n"/>
      <c r="J60" s="5" t="n"/>
      <c r="K60" s="5" t="n"/>
      <c r="L60" s="5" t="n"/>
      <c r="M60" s="5" t="inlineStr"/>
      <c r="N60" s="5" t="n"/>
    </row>
    <row r="61" ht="22" customHeight="1">
      <c r="B61" s="3" t="n">
        <v>1</v>
      </c>
      <c r="C61" s="4" t="inlineStr">
        <is>
          <t>9. Foundations &amp; Erection</t>
        </is>
      </c>
      <c r="D61" s="3" t="inlineStr">
        <is>
          <t>Foundation Design</t>
        </is>
      </c>
      <c r="E61" s="3" t="inlineStr">
        <is>
          <t>Concrete block foundations designed based on site-specific soil report (SBC, water table, soil type)</t>
        </is>
      </c>
      <c r="F61" s="3" t="inlineStr">
        <is>
          <t>BS EN 1997 / IS 1904</t>
        </is>
      </c>
      <c r="G61" s="3" t="inlineStr">
        <is>
          <t>Critical</t>
        </is>
      </c>
      <c r="H61" s="3" t="n"/>
      <c r="I61" s="3" t="n"/>
      <c r="J61" s="3" t="n"/>
      <c r="K61" s="3" t="n"/>
      <c r="L61" s="3" t="n"/>
      <c r="M61" s="3" t="inlineStr"/>
      <c r="N61" s="3" t="n"/>
    </row>
    <row r="62" ht="22" customHeight="1">
      <c r="B62" s="5" t="n">
        <v>2</v>
      </c>
      <c r="D62" s="5" t="inlineStr">
        <is>
          <t>Guy Anchor Design</t>
        </is>
      </c>
      <c r="E62" s="5" t="inlineStr">
        <is>
          <t>Guy anchors designed for pull-out resistance based on soil parameters</t>
        </is>
      </c>
      <c r="F62" s="5" t="inlineStr">
        <is>
          <t>BS EN 1997</t>
        </is>
      </c>
      <c r="G62" s="5" t="inlineStr">
        <is>
          <t>Critical</t>
        </is>
      </c>
      <c r="H62" s="5" t="n"/>
      <c r="I62" s="5" t="n"/>
      <c r="J62" s="5" t="n"/>
      <c r="K62" s="5" t="n"/>
      <c r="L62" s="5" t="n"/>
      <c r="M62" s="5" t="inlineStr"/>
      <c r="N62" s="5" t="n"/>
    </row>
    <row r="63" ht="22" customHeight="1">
      <c r="B63" s="6" t="n">
        <v>3</v>
      </c>
      <c r="D63" s="6" t="inlineStr">
        <is>
          <t>Soil Parameters Required</t>
        </is>
      </c>
      <c r="E63" s="6" t="inlineStr">
        <is>
          <t>Vendor specifies required soil parameters for foundation design</t>
        </is>
      </c>
      <c r="F63" s="6" t="inlineStr">
        <is>
          <t>Industry Best Practice</t>
        </is>
      </c>
      <c r="G63" s="6" t="inlineStr">
        <is>
          <t>High</t>
        </is>
      </c>
      <c r="H63" s="6" t="n"/>
      <c r="I63" s="6" t="n"/>
      <c r="J63" s="6" t="n"/>
      <c r="K63" s="6" t="n"/>
      <c r="L63" s="6" t="n"/>
      <c r="M63" s="6" t="inlineStr"/>
      <c r="N63" s="6" t="n"/>
    </row>
    <row r="64" ht="22" customHeight="1">
      <c r="B64" s="5" t="n">
        <v>4</v>
      </c>
      <c r="D64" s="5" t="inlineStr">
        <is>
          <t>Erection Method</t>
        </is>
      </c>
      <c r="E64" s="5" t="inlineStr">
        <is>
          <t>Gin pole or crane erection — method specified with safety plan</t>
        </is>
      </c>
      <c r="F64" s="5" t="inlineStr">
        <is>
          <t>Industry Best Practice</t>
        </is>
      </c>
      <c r="G64" s="5" t="inlineStr">
        <is>
          <t>High</t>
        </is>
      </c>
      <c r="H64" s="5" t="n"/>
      <c r="I64" s="5" t="n"/>
      <c r="J64" s="5" t="n"/>
      <c r="K64" s="5" t="n"/>
      <c r="L64" s="5" t="n"/>
      <c r="M64" s="5" t="inlineStr"/>
      <c r="N64" s="5" t="n"/>
    </row>
    <row r="65" ht="22" customHeight="1">
      <c r="B65" s="6" t="n">
        <v>5</v>
      </c>
      <c r="D65" s="6" t="inlineStr">
        <is>
          <t>Erection Duration</t>
        </is>
      </c>
      <c r="E65" s="6" t="inlineStr">
        <is>
          <t>Typical 3-5 days for guyed lattice mast; vendor provides schedule</t>
        </is>
      </c>
      <c r="F65" s="6" t="inlineStr">
        <is>
          <t>Industry Best Practice</t>
        </is>
      </c>
      <c r="G65" s="6" t="inlineStr">
        <is>
          <t>Medium</t>
        </is>
      </c>
      <c r="H65" s="6" t="n"/>
      <c r="I65" s="6" t="n"/>
      <c r="J65" s="6" t="n"/>
      <c r="K65" s="6" t="n"/>
      <c r="L65" s="6" t="n"/>
      <c r="M65" s="6" t="inlineStr"/>
      <c r="N65" s="6" t="n"/>
    </row>
    <row r="66" ht="22" customHeight="1">
      <c r="B66" s="5" t="n">
        <v>6</v>
      </c>
      <c r="D66" s="5" t="inlineStr">
        <is>
          <t>Certified Erectors</t>
        </is>
      </c>
      <c r="E66" s="5" t="inlineStr">
        <is>
          <t>Vendor provides certified riggers and erectors with relevant experience</t>
        </is>
      </c>
      <c r="F66" s="5" t="inlineStr">
        <is>
          <t>Industry Best Practice</t>
        </is>
      </c>
      <c r="G66" s="5" t="inlineStr">
        <is>
          <t>High</t>
        </is>
      </c>
      <c r="H66" s="5" t="n"/>
      <c r="I66" s="5" t="n"/>
      <c r="J66" s="5" t="n"/>
      <c r="K66" s="5" t="n"/>
      <c r="L66" s="5" t="n"/>
      <c r="M66" s="5" t="inlineStr"/>
      <c r="N66" s="5" t="n"/>
    </row>
    <row r="67" ht="22" customHeight="1">
      <c r="B67" s="6" t="n">
        <v>7</v>
      </c>
      <c r="D67" s="6" t="inlineStr">
        <is>
          <t>HSE Plan</t>
        </is>
      </c>
      <c r="E67" s="6" t="inlineStr">
        <is>
          <t>Health, Safety, and Environment plan with risk assessment and fall protection</t>
        </is>
      </c>
      <c r="F67" s="6" t="inlineStr">
        <is>
          <t>Industry Best Practice</t>
        </is>
      </c>
      <c r="G67" s="6" t="inlineStr">
        <is>
          <t>Critical</t>
        </is>
      </c>
      <c r="H67" s="6" t="n"/>
      <c r="I67" s="6" t="n"/>
      <c r="J67" s="6" t="n"/>
      <c r="K67" s="6" t="n"/>
      <c r="L67" s="6" t="n"/>
      <c r="M67" s="6" t="inlineStr"/>
      <c r="N67" s="6" t="n"/>
    </row>
    <row r="68" ht="22" customHeight="1">
      <c r="B68" s="3" t="n">
        <v>1</v>
      </c>
      <c r="C68" s="4" t="inlineStr">
        <is>
          <t>10. Quality Assurance &amp; Documentation</t>
        </is>
      </c>
      <c r="D68" s="3" t="inlineStr">
        <is>
          <t>Material Test Certificates</t>
        </is>
      </c>
      <c r="E68" s="3" t="inlineStr">
        <is>
          <t>Mill test certificates for all steel per IS 2062 / EN 10025</t>
        </is>
      </c>
      <c r="F68" s="3" t="inlineStr">
        <is>
          <t>IS 2062 / EN 10025</t>
        </is>
      </c>
      <c r="G68" s="3" t="inlineStr">
        <is>
          <t>Critical</t>
        </is>
      </c>
      <c r="H68" s="3" t="n"/>
      <c r="I68" s="3" t="n"/>
      <c r="J68" s="3" t="n"/>
      <c r="K68" s="3" t="n"/>
      <c r="L68" s="3" t="n"/>
      <c r="M68" s="3" t="inlineStr"/>
      <c r="N68" s="3" t="n"/>
    </row>
    <row r="69" ht="22" customHeight="1">
      <c r="B69" s="6" t="n">
        <v>2</v>
      </c>
      <c r="D69" s="6" t="inlineStr">
        <is>
          <t>Galvanization Test Certificates</t>
        </is>
      </c>
      <c r="E69" s="6" t="inlineStr">
        <is>
          <t>Certificates confirming zinc coating thickness meets specification</t>
        </is>
      </c>
      <c r="F69" s="6" t="inlineStr">
        <is>
          <t>IS 2629 / IS 2633</t>
        </is>
      </c>
      <c r="G69" s="6" t="inlineStr">
        <is>
          <t>Critical</t>
        </is>
      </c>
      <c r="H69" s="6" t="n"/>
      <c r="I69" s="6" t="n"/>
      <c r="J69" s="6" t="n"/>
      <c r="K69" s="6" t="n"/>
      <c r="L69" s="6" t="n"/>
      <c r="M69" s="6" t="inlineStr"/>
      <c r="N69" s="6" t="n"/>
    </row>
    <row r="70" ht="22" customHeight="1">
      <c r="B70" s="5" t="n">
        <v>3</v>
      </c>
      <c r="D70" s="5" t="inlineStr">
        <is>
          <t>Anemometer Calibration Certificates</t>
        </is>
      </c>
      <c r="E70" s="5" t="inlineStr">
        <is>
          <t>MEASNET-traceable calibration certificates for each anemometer</t>
        </is>
      </c>
      <c r="F70" s="5" t="inlineStr">
        <is>
          <t>MEASNET / IEC 61400-12-1</t>
        </is>
      </c>
      <c r="G70" s="5" t="inlineStr">
        <is>
          <t>Critical</t>
        </is>
      </c>
      <c r="H70" s="5" t="n"/>
      <c r="I70" s="5" t="n"/>
      <c r="J70" s="5" t="n"/>
      <c r="K70" s="5" t="n"/>
      <c r="L70" s="5" t="n"/>
      <c r="M70" s="5" t="inlineStr"/>
      <c r="N70" s="5" t="n"/>
    </row>
    <row r="71" ht="22" customHeight="1">
      <c r="B71" s="6" t="n">
        <v>4</v>
      </c>
      <c r="D71" s="6" t="inlineStr">
        <is>
          <t>Fabrication Drawings</t>
        </is>
      </c>
      <c r="E71" s="6" t="inlineStr">
        <is>
          <t>Detailed fabrication drawings for verification and future maintenance</t>
        </is>
      </c>
      <c r="F71" s="6" t="inlineStr">
        <is>
          <t>Industry Best Practice</t>
        </is>
      </c>
      <c r="G71" s="6" t="inlineStr">
        <is>
          <t>High</t>
        </is>
      </c>
      <c r="H71" s="6" t="n"/>
      <c r="I71" s="6" t="n"/>
      <c r="J71" s="6" t="n"/>
      <c r="K71" s="6" t="n"/>
      <c r="L71" s="6" t="n"/>
      <c r="M71" s="6" t="inlineStr"/>
      <c r="N71" s="6" t="n"/>
    </row>
    <row r="72" ht="22" customHeight="1">
      <c r="B72" s="5" t="n">
        <v>5</v>
      </c>
      <c r="D72" s="5" t="inlineStr">
        <is>
          <t>Erection Manual</t>
        </is>
      </c>
      <c r="E72" s="5" t="inlineStr">
        <is>
          <t>Step-by-step erection manual with safety procedures</t>
        </is>
      </c>
      <c r="F72" s="5" t="inlineStr">
        <is>
          <t>Industry Best Practice</t>
        </is>
      </c>
      <c r="G72" s="5" t="inlineStr">
        <is>
          <t>High</t>
        </is>
      </c>
      <c r="H72" s="5" t="n"/>
      <c r="I72" s="5" t="n"/>
      <c r="J72" s="5" t="n"/>
      <c r="K72" s="5" t="n"/>
      <c r="L72" s="5" t="n"/>
      <c r="M72" s="5" t="inlineStr"/>
      <c r="N72" s="5" t="n"/>
    </row>
    <row r="73" ht="22" customHeight="1">
      <c r="B73" s="6" t="n">
        <v>6</v>
      </c>
      <c r="D73" s="6" t="inlineStr">
        <is>
          <t>Inspection &amp; Maintenance Manual</t>
        </is>
      </c>
      <c r="E73" s="6" t="inlineStr">
        <is>
          <t>Comprehensive manual for long-term operation and maintenance</t>
        </is>
      </c>
      <c r="F73" s="6" t="inlineStr">
        <is>
          <t>Industry Best Practice</t>
        </is>
      </c>
      <c r="G73" s="6" t="inlineStr">
        <is>
          <t>High</t>
        </is>
      </c>
      <c r="H73" s="6" t="n"/>
      <c r="I73" s="6" t="n"/>
      <c r="J73" s="6" t="n"/>
      <c r="K73" s="6" t="n"/>
      <c r="L73" s="6" t="n"/>
      <c r="M73" s="6" t="inlineStr"/>
      <c r="N73" s="6" t="n"/>
    </row>
    <row r="74" ht="22" customHeight="1">
      <c r="B74" s="5" t="n">
        <v>7</v>
      </c>
      <c r="D74" s="5" t="inlineStr">
        <is>
          <t>Third-Party Inspection</t>
        </is>
      </c>
      <c r="E74" s="5" t="inlineStr">
        <is>
          <t>Allow and facilitate third-party inspection during fabrication stage</t>
        </is>
      </c>
      <c r="F74" s="5" t="inlineStr">
        <is>
          <t>Industry Best Practice</t>
        </is>
      </c>
      <c r="G74" s="5" t="inlineStr">
        <is>
          <t>High</t>
        </is>
      </c>
      <c r="H74" s="5" t="n"/>
      <c r="I74" s="5" t="n"/>
      <c r="J74" s="5" t="n"/>
      <c r="K74" s="5" t="n"/>
      <c r="L74" s="5" t="n"/>
      <c r="M74" s="5" t="inlineStr"/>
      <c r="N74" s="5" t="n"/>
    </row>
    <row r="75" ht="22" customHeight="1">
      <c r="B75" s="6" t="n">
        <v>8</v>
      </c>
      <c r="D75" s="6" t="inlineStr">
        <is>
          <t>Foundation Design Report</t>
        </is>
      </c>
      <c r="E75" s="6" t="inlineStr">
        <is>
          <t>Signed and sealed foundation design report</t>
        </is>
      </c>
      <c r="F75" s="6" t="inlineStr">
        <is>
          <t>Industry Best Practice</t>
        </is>
      </c>
      <c r="G75" s="6" t="inlineStr">
        <is>
          <t>Critical</t>
        </is>
      </c>
      <c r="H75" s="6" t="n"/>
      <c r="I75" s="6" t="n"/>
      <c r="J75" s="6" t="n"/>
      <c r="K75" s="6" t="n"/>
      <c r="L75" s="6" t="n"/>
      <c r="M75" s="6" t="inlineStr"/>
      <c r="N75" s="6" t="n"/>
    </row>
    <row r="76" ht="22" customHeight="1">
      <c r="B76" s="3" t="n">
        <v>1</v>
      </c>
      <c r="C76" s="4" t="inlineStr">
        <is>
          <t>11. Compliance &amp; Regulatory Approvals</t>
        </is>
      </c>
      <c r="D76" s="3" t="inlineStr">
        <is>
          <t>Structural Design Certification</t>
        </is>
      </c>
      <c r="E76" s="3" t="inlineStr">
        <is>
          <t>Design certified by qualified structural engineer</t>
        </is>
      </c>
      <c r="F76" s="3" t="inlineStr">
        <is>
          <t>Local Building Codes</t>
        </is>
      </c>
      <c r="G76" s="3" t="inlineStr">
        <is>
          <t>Critical</t>
        </is>
      </c>
      <c r="H76" s="3" t="n"/>
      <c r="I76" s="3" t="n"/>
      <c r="J76" s="3" t="n"/>
      <c r="K76" s="3" t="n"/>
      <c r="L76" s="3" t="n"/>
      <c r="M76" s="3" t="inlineStr"/>
      <c r="N76" s="3" t="n"/>
    </row>
    <row r="77" ht="22" customHeight="1">
      <c r="B77" s="6" t="n">
        <v>2</v>
      </c>
      <c r="D77" s="6" t="inlineStr">
        <is>
          <t>Aviation Clearance</t>
        </is>
      </c>
      <c r="E77" s="6" t="inlineStr">
        <is>
          <t>NOC from AAI/DGCA for mast height (assistance from vendor preferred)</t>
        </is>
      </c>
      <c r="F77" s="6" t="inlineStr">
        <is>
          <t>AAI / DGCA</t>
        </is>
      </c>
      <c r="G77" s="6" t="inlineStr">
        <is>
          <t>High</t>
        </is>
      </c>
      <c r="H77" s="6" t="n"/>
      <c r="I77" s="6" t="n"/>
      <c r="J77" s="6" t="n"/>
      <c r="K77" s="6" t="n"/>
      <c r="L77" s="6" t="n"/>
      <c r="M77" s="6" t="inlineStr"/>
      <c r="N77" s="6" t="n"/>
    </row>
    <row r="78" ht="22" customHeight="1">
      <c r="B78" s="5" t="n">
        <v>3</v>
      </c>
      <c r="D78" s="5" t="inlineStr">
        <is>
          <t>Forest/Environment Clearance</t>
        </is>
      </c>
      <c r="E78" s="5" t="inlineStr">
        <is>
          <t>Support for environmental clearances if applicable</t>
        </is>
      </c>
      <c r="F78" s="5" t="inlineStr">
        <is>
          <t>Local Regulations</t>
        </is>
      </c>
      <c r="G78" s="5" t="inlineStr">
        <is>
          <t>Medium</t>
        </is>
      </c>
      <c r="H78" s="5" t="n"/>
      <c r="I78" s="5" t="n"/>
      <c r="J78" s="5" t="n"/>
      <c r="K78" s="5" t="n"/>
      <c r="L78" s="5" t="n"/>
      <c r="M78" s="5" t="inlineStr"/>
      <c r="N78" s="5" t="n"/>
    </row>
    <row r="79" ht="22" customHeight="1">
      <c r="B79" s="6" t="n">
        <v>4</v>
      </c>
      <c r="D79" s="6" t="inlineStr">
        <is>
          <t>EMF/EMI Compliance</t>
        </is>
      </c>
      <c r="E79" s="6" t="inlineStr">
        <is>
          <t>Compliance if site is near communication infrastructure</t>
        </is>
      </c>
      <c r="F79" s="6" t="inlineStr">
        <is>
          <t>Local Regulations</t>
        </is>
      </c>
      <c r="G79" s="6" t="inlineStr">
        <is>
          <t>Low</t>
        </is>
      </c>
      <c r="H79" s="6" t="n"/>
      <c r="I79" s="6" t="n"/>
      <c r="J79" s="6" t="n"/>
      <c r="K79" s="6" t="n"/>
      <c r="L79" s="6" t="n"/>
      <c r="M79" s="6" t="inlineStr"/>
      <c r="N79" s="6" t="n"/>
    </row>
    <row r="80" ht="22" customHeight="1">
      <c r="B80" s="3" t="n">
        <v>1</v>
      </c>
      <c r="C80" s="4" t="inlineStr">
        <is>
          <t>12. Warranty &amp; After-Sales Support</t>
        </is>
      </c>
      <c r="D80" s="3" t="inlineStr">
        <is>
          <t>Structural Warranty</t>
        </is>
      </c>
      <c r="E80" s="3" t="inlineStr">
        <is>
          <t>Minimum 10-15 years for galvanized steel mast structure</t>
        </is>
      </c>
      <c r="F80" s="3" t="inlineStr">
        <is>
          <t>Industry Best Practice</t>
        </is>
      </c>
      <c r="G80" s="3" t="inlineStr">
        <is>
          <t>High</t>
        </is>
      </c>
      <c r="H80" s="3" t="n"/>
      <c r="I80" s="3" t="n"/>
      <c r="J80" s="3" t="n"/>
      <c r="K80" s="3" t="n"/>
      <c r="L80" s="3" t="n"/>
      <c r="M80" s="3" t="inlineStr"/>
      <c r="N80" s="3" t="n"/>
    </row>
    <row r="81" ht="22" customHeight="1">
      <c r="B81" s="6" t="n">
        <v>2</v>
      </c>
      <c r="D81" s="6" t="inlineStr">
        <is>
          <t>Instrumentation Warranty</t>
        </is>
      </c>
      <c r="E81" s="6" t="inlineStr">
        <is>
          <t>Minimum 2 years for sensors and data logger</t>
        </is>
      </c>
      <c r="F81" s="6" t="inlineStr">
        <is>
          <t>Industry Best Practice</t>
        </is>
      </c>
      <c r="G81" s="6" t="inlineStr">
        <is>
          <t>High</t>
        </is>
      </c>
      <c r="H81" s="6" t="n"/>
      <c r="I81" s="6" t="n"/>
      <c r="J81" s="6" t="n"/>
      <c r="K81" s="6" t="n"/>
      <c r="L81" s="6" t="n"/>
      <c r="M81" s="6" t="inlineStr"/>
      <c r="N81" s="6" t="n"/>
    </row>
    <row r="82" ht="22" customHeight="1">
      <c r="B82" s="5" t="n">
        <v>3</v>
      </c>
      <c r="D82" s="5" t="inlineStr">
        <is>
          <t>Spare Parts Availability</t>
        </is>
      </c>
      <c r="E82" s="5" t="inlineStr">
        <is>
          <t>Availability of spares (anemometers, vanes, booms, logger) for at least 5 years</t>
        </is>
      </c>
      <c r="F82" s="5" t="inlineStr">
        <is>
          <t>Industry Best Practice</t>
        </is>
      </c>
      <c r="G82" s="5" t="inlineStr">
        <is>
          <t>High</t>
        </is>
      </c>
      <c r="H82" s="5" t="n"/>
      <c r="I82" s="5" t="n"/>
      <c r="J82" s="5" t="n"/>
      <c r="K82" s="5" t="n"/>
      <c r="L82" s="5" t="n"/>
      <c r="M82" s="5" t="inlineStr"/>
      <c r="N82" s="5" t="n"/>
    </row>
    <row r="83" ht="22" customHeight="1">
      <c r="B83" s="6" t="n">
        <v>4</v>
      </c>
      <c r="D83" s="6" t="inlineStr">
        <is>
          <t>Spare Parts Lead Time</t>
        </is>
      </c>
      <c r="E83" s="6" t="inlineStr">
        <is>
          <t>Lead time for spare parts — target less than 4 weeks</t>
        </is>
      </c>
      <c r="F83" s="6" t="inlineStr">
        <is>
          <t>Industry Best Practice</t>
        </is>
      </c>
      <c r="G83" s="6" t="inlineStr">
        <is>
          <t>Medium</t>
        </is>
      </c>
      <c r="H83" s="6" t="n"/>
      <c r="I83" s="6" t="n"/>
      <c r="J83" s="6" t="n"/>
      <c r="K83" s="6" t="n"/>
      <c r="L83" s="6" t="n"/>
      <c r="M83" s="6" t="inlineStr"/>
      <c r="N83" s="6" t="n"/>
    </row>
    <row r="84" ht="22" customHeight="1">
      <c r="B84" s="5" t="n">
        <v>5</v>
      </c>
      <c r="D84" s="5" t="inlineStr">
        <is>
          <t>AMC Option</t>
        </is>
      </c>
      <c r="E84" s="5" t="inlineStr">
        <is>
          <t>Option for Annual Maintenance Contract (inspection, sensor replacement, recalibration)</t>
        </is>
      </c>
      <c r="F84" s="5" t="inlineStr">
        <is>
          <t>Industry Best Practice</t>
        </is>
      </c>
      <c r="G84" s="5" t="inlineStr">
        <is>
          <t>Medium</t>
        </is>
      </c>
      <c r="H84" s="5" t="n"/>
      <c r="I84" s="5" t="n"/>
      <c r="J84" s="5" t="n"/>
      <c r="K84" s="5" t="n"/>
      <c r="L84" s="5" t="n"/>
      <c r="M84" s="5" t="inlineStr"/>
      <c r="N84" s="5" t="n"/>
    </row>
    <row r="85" ht="22" customHeight="1">
      <c r="B85" s="6" t="n">
        <v>6</v>
      </c>
      <c r="D85" s="6" t="inlineStr">
        <is>
          <t>Technical Support</t>
        </is>
      </c>
      <c r="E85" s="6" t="inlineStr">
        <is>
          <t>Remote diagnostics, firmware updates, phone/email support included</t>
        </is>
      </c>
      <c r="F85" s="6" t="inlineStr">
        <is>
          <t>Industry Best Practice</t>
        </is>
      </c>
      <c r="G85" s="6" t="inlineStr">
        <is>
          <t>Medium</t>
        </is>
      </c>
      <c r="H85" s="6" t="n"/>
      <c r="I85" s="6" t="n"/>
      <c r="J85" s="6" t="n"/>
      <c r="K85" s="6" t="n"/>
      <c r="L85" s="6" t="n"/>
      <c r="M85" s="6" t="inlineStr"/>
      <c r="N85" s="6" t="n"/>
    </row>
    <row r="86" ht="22" customHeight="1">
      <c r="B86" s="3" t="n">
        <v>1</v>
      </c>
      <c r="C86" s="4" t="inlineStr">
        <is>
          <t>13. Data Quality &amp; Bankability</t>
        </is>
      </c>
      <c r="D86" s="3" t="inlineStr">
        <is>
          <t>IEC 61400-12-1 Compliance</t>
        </is>
      </c>
      <c r="E86" s="3" t="inlineStr">
        <is>
          <t>Complete mast setup (sensor placement, boom lengths, calibration) meets IEC standard</t>
        </is>
      </c>
      <c r="F86" s="3" t="inlineStr">
        <is>
          <t>IEC 61400-12-1</t>
        </is>
      </c>
      <c r="G86" s="3" t="inlineStr">
        <is>
          <t>Critical</t>
        </is>
      </c>
      <c r="H86" s="3" t="n"/>
      <c r="I86" s="3" t="n"/>
      <c r="J86" s="3" t="n"/>
      <c r="K86" s="3" t="n"/>
      <c r="L86" s="3" t="n"/>
      <c r="M86" s="3" t="inlineStr"/>
      <c r="N86" s="3" t="n"/>
    </row>
    <row r="87" ht="22" customHeight="1">
      <c r="B87" s="6" t="n">
        <v>2</v>
      </c>
      <c r="D87" s="6" t="inlineStr">
        <is>
          <t>MEASNET Calibration</t>
        </is>
      </c>
      <c r="E87" s="6" t="inlineStr">
        <is>
          <t>All anemometers have MEASNET-traceable calibration certificates</t>
        </is>
      </c>
      <c r="F87" s="6" t="inlineStr">
        <is>
          <t>MEASNET</t>
        </is>
      </c>
      <c r="G87" s="6" t="inlineStr">
        <is>
          <t>Critical</t>
        </is>
      </c>
      <c r="H87" s="6" t="n"/>
      <c r="I87" s="6" t="n"/>
      <c r="J87" s="6" t="n"/>
      <c r="K87" s="6" t="n"/>
      <c r="L87" s="6" t="n"/>
      <c r="M87" s="6" t="inlineStr"/>
      <c r="N87" s="6" t="n"/>
    </row>
    <row r="88" ht="22" customHeight="1">
      <c r="B88" s="5" t="n">
        <v>3</v>
      </c>
      <c r="D88" s="5" t="inlineStr">
        <is>
          <t>Data Recovery Target</t>
        </is>
      </c>
      <c r="E88" s="5" t="inlineStr">
        <is>
          <t>Instrumentation and logger reliable enough to achieve minimum 90% data recovery over 12 months</t>
        </is>
      </c>
      <c r="F88" s="5" t="inlineStr">
        <is>
          <t>IEC 61400-12-1 / Industry Standard</t>
        </is>
      </c>
      <c r="G88" s="5" t="inlineStr">
        <is>
          <t>Critical</t>
        </is>
      </c>
      <c r="H88" s="5" t="n"/>
      <c r="I88" s="5" t="n"/>
      <c r="J88" s="5" t="n"/>
      <c r="K88" s="5" t="n"/>
      <c r="L88" s="5" t="n"/>
      <c r="M88" s="5" t="inlineStr"/>
      <c r="N88" s="5" t="n"/>
    </row>
    <row r="89" ht="22" customHeight="1">
      <c r="B89" s="6" t="n">
        <v>4</v>
      </c>
      <c r="D89" s="6" t="inlineStr">
        <is>
          <t>Tower Shadow Correction Data</t>
        </is>
      </c>
      <c r="E89" s="6" t="inlineStr">
        <is>
          <t>Vendor provides tower shadow correction methodology and data</t>
        </is>
      </c>
      <c r="F89" s="6" t="inlineStr">
        <is>
          <t>IEC 61400-12-1</t>
        </is>
      </c>
      <c r="G89" s="6" t="inlineStr">
        <is>
          <t>Critical</t>
        </is>
      </c>
      <c r="H89" s="6" t="n"/>
      <c r="I89" s="6" t="n"/>
      <c r="J89" s="6" t="n"/>
      <c r="K89" s="6" t="n"/>
      <c r="L89" s="6" t="n"/>
      <c r="M89" s="6" t="inlineStr"/>
      <c r="N89" s="6" t="n"/>
    </row>
    <row r="90" ht="22" customHeight="1">
      <c r="B90" s="5" t="n">
        <v>5</v>
      </c>
      <c r="D90" s="5" t="inlineStr">
        <is>
          <t>Bankability Statement</t>
        </is>
      </c>
      <c r="E90" s="5" t="inlineStr">
        <is>
          <t>Setup produces data acceptable for lenders and independent engineers</t>
        </is>
      </c>
      <c r="F90" s="5" t="inlineStr">
        <is>
          <t>Industry Best Practice</t>
        </is>
      </c>
      <c r="G90" s="5" t="inlineStr">
        <is>
          <t>High</t>
        </is>
      </c>
      <c r="H90" s="5" t="n"/>
      <c r="I90" s="5" t="n"/>
      <c r="J90" s="5" t="n"/>
      <c r="K90" s="5" t="n"/>
      <c r="L90" s="5" t="n"/>
      <c r="M90" s="5" t="inlineStr"/>
      <c r="N90" s="5" t="n"/>
    </row>
  </sheetData>
  <mergeCells count="14">
    <mergeCell ref="C30:C36"/>
    <mergeCell ref="C46:C51"/>
    <mergeCell ref="C76:C79"/>
    <mergeCell ref="C52:C55"/>
    <mergeCell ref="C86:C90"/>
    <mergeCell ref="C15:C24"/>
    <mergeCell ref="C56:C60"/>
    <mergeCell ref="C25:C29"/>
    <mergeCell ref="C61:C67"/>
    <mergeCell ref="C68:C75"/>
    <mergeCell ref="C37:C45"/>
    <mergeCell ref="C5:C14"/>
    <mergeCell ref="B2:N2"/>
    <mergeCell ref="C80:C85"/>
  </mergeCells>
  <conditionalFormatting sqref="G5:G9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</conditionalFormatting>
  <conditionalFormatting sqref="M5:M90">
    <cfRule type="cellIs" priority="4" operator="equal" dxfId="2">
      <formula>"Compliant"</formula>
    </cfRule>
    <cfRule type="cellIs" priority="5" operator="equal" dxfId="0">
      <formula>"Non-Compliant"</formula>
    </cfRule>
    <cfRule type="cellIs" priority="6" operator="equal" dxfId="1">
      <formula>"Conditional"</formula>
    </cfRule>
  </conditionalFormatting>
  <dataValidations count="2">
    <dataValidation sqref="H5:H90 J5:J90 L5:L90" showDropDown="0" showInputMessage="0" showErrorMessage="0" allowBlank="1" errorTitle="Invalid Input" error="Please select Yes, No, Partial, or N/A" promptTitle="Compliance" prompt="Select compliance status" type="list">
      <formula1>"Yes,No,Partial,N/A"</formula1>
    </dataValidation>
    <dataValidation sqref="M5:M90" showDropDown="0" showInputMessage="0" showErrorMessage="0" allowBlank="1" error="Select a valid status" type="list">
      <formula1>"Not Started,In Review,Compliant,Non-Compliant,Conditional"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38" customWidth="1" min="3" max="3"/>
    <col width="10" customWidth="1" min="4" max="4"/>
    <col width="16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</cols>
  <sheetData>
    <row r="1" ht="15" customHeight="1"/>
    <row r="2" ht="32" customHeight="1">
      <c r="B2" s="1" t="inlineStr">
        <is>
          <t>Vendor Evaluation Matrix</t>
        </is>
      </c>
    </row>
    <row r="3" ht="8" customHeight="1"/>
    <row r="4" ht="28" customHeight="1">
      <c r="B4" s="2" t="inlineStr">
        <is>
          <t>#</t>
        </is>
      </c>
      <c r="C4" s="2" t="inlineStr">
        <is>
          <t>Evaluation Criteria</t>
        </is>
      </c>
      <c r="D4" s="2" t="inlineStr">
        <is>
          <t>Weight</t>
        </is>
      </c>
      <c r="E4" s="2" t="inlineStr">
        <is>
          <t>Vendor A
Score (1-10)</t>
        </is>
      </c>
      <c r="F4" s="2" t="inlineStr">
        <is>
          <t>Vendor A
Weighted</t>
        </is>
      </c>
      <c r="G4" s="2" t="inlineStr">
        <is>
          <t>Vendor B
Score (1-10)</t>
        </is>
      </c>
      <c r="H4" s="2" t="inlineStr">
        <is>
          <t>Vendor B
Weighted</t>
        </is>
      </c>
      <c r="I4" s="2" t="inlineStr">
        <is>
          <t>Vendor C
Score (1-10)</t>
        </is>
      </c>
      <c r="J4" s="2" t="inlineStr">
        <is>
          <t>Vendor C
Weighted</t>
        </is>
      </c>
    </row>
    <row r="5" ht="22" customHeight="1">
      <c r="B5" s="6" t="n">
        <v>1</v>
      </c>
      <c r="C5" s="6" t="inlineStr">
        <is>
          <t>IEC 61400-12-1 Compliance</t>
        </is>
      </c>
      <c r="D5" s="6" t="inlineStr">
        <is>
          <t>20%</t>
        </is>
      </c>
      <c r="E5" s="6" t="inlineStr"/>
      <c r="F5" s="6">
        <f>IFERROR(E5*0.2,0)</f>
        <v/>
      </c>
      <c r="G5" s="6" t="inlineStr"/>
      <c r="H5" s="6">
        <f>IFERROR(G5*0.2,0)</f>
        <v/>
      </c>
      <c r="I5" s="6" t="inlineStr"/>
      <c r="J5" s="6">
        <f>IFERROR(I5*0.2,0)</f>
        <v/>
      </c>
    </row>
    <row r="6" ht="22" customHeight="1">
      <c r="B6" s="5" t="n">
        <v>2</v>
      </c>
      <c r="C6" s="5" t="inlineStr">
        <is>
          <t>Mast Design &amp; Structural Capability</t>
        </is>
      </c>
      <c r="D6" s="5" t="inlineStr">
        <is>
          <t>15%</t>
        </is>
      </c>
      <c r="E6" s="5" t="inlineStr"/>
      <c r="F6" s="5">
        <f>IFERROR(E6*0.15,0)</f>
        <v/>
      </c>
      <c r="G6" s="5" t="inlineStr"/>
      <c r="H6" s="5">
        <f>IFERROR(G6*0.15,0)</f>
        <v/>
      </c>
      <c r="I6" s="5" t="inlineStr"/>
      <c r="J6" s="5">
        <f>IFERROR(I6*0.15,0)</f>
        <v/>
      </c>
    </row>
    <row r="7" ht="22" customHeight="1">
      <c r="B7" s="6" t="n">
        <v>3</v>
      </c>
      <c r="C7" s="6" t="inlineStr">
        <is>
          <t>Instrumentation Quality &amp; Calibration</t>
        </is>
      </c>
      <c r="D7" s="6" t="inlineStr">
        <is>
          <t>20%</t>
        </is>
      </c>
      <c r="E7" s="6" t="inlineStr"/>
      <c r="F7" s="6">
        <f>IFERROR(E7*0.2,0)</f>
        <v/>
      </c>
      <c r="G7" s="6" t="inlineStr"/>
      <c r="H7" s="6">
        <f>IFERROR(G7*0.2,0)</f>
        <v/>
      </c>
      <c r="I7" s="6" t="inlineStr"/>
      <c r="J7" s="6">
        <f>IFERROR(I7*0.2,0)</f>
        <v/>
      </c>
    </row>
    <row r="8" ht="22" customHeight="1">
      <c r="B8" s="5" t="n">
        <v>4</v>
      </c>
      <c r="C8" s="5" t="inlineStr">
        <is>
          <t>Data Logger &amp; Communication</t>
        </is>
      </c>
      <c r="D8" s="5" t="inlineStr">
        <is>
          <t>10%</t>
        </is>
      </c>
      <c r="E8" s="5" t="inlineStr"/>
      <c r="F8" s="5">
        <f>IFERROR(E8*0.1,0)</f>
        <v/>
      </c>
      <c r="G8" s="5" t="inlineStr"/>
      <c r="H8" s="5">
        <f>IFERROR(G8*0.1,0)</f>
        <v/>
      </c>
      <c r="I8" s="5" t="inlineStr"/>
      <c r="J8" s="5">
        <f>IFERROR(I8*0.1,0)</f>
        <v/>
      </c>
    </row>
    <row r="9" ht="22" customHeight="1">
      <c r="B9" s="6" t="n">
        <v>5</v>
      </c>
      <c r="C9" s="6" t="inlineStr">
        <is>
          <t>Lightning Protection</t>
        </is>
      </c>
      <c r="D9" s="6" t="inlineStr">
        <is>
          <t>5%</t>
        </is>
      </c>
      <c r="E9" s="6" t="inlineStr"/>
      <c r="F9" s="6">
        <f>IFERROR(E9*0.05,0)</f>
        <v/>
      </c>
      <c r="G9" s="6" t="inlineStr"/>
      <c r="H9" s="6">
        <f>IFERROR(G9*0.05,0)</f>
        <v/>
      </c>
      <c r="I9" s="6" t="inlineStr"/>
      <c r="J9" s="6">
        <f>IFERROR(I9*0.05,0)</f>
        <v/>
      </c>
    </row>
    <row r="10" ht="22" customHeight="1">
      <c r="B10" s="5" t="n">
        <v>6</v>
      </c>
      <c r="C10" s="5" t="inlineStr">
        <is>
          <t>QA/QC &amp; Documentation</t>
        </is>
      </c>
      <c r="D10" s="5" t="inlineStr">
        <is>
          <t>10%</t>
        </is>
      </c>
      <c r="E10" s="5" t="inlineStr"/>
      <c r="F10" s="5">
        <f>IFERROR(E10*0.1,0)</f>
        <v/>
      </c>
      <c r="G10" s="5" t="inlineStr"/>
      <c r="H10" s="5">
        <f>IFERROR(G10*0.1,0)</f>
        <v/>
      </c>
      <c r="I10" s="5" t="inlineStr"/>
      <c r="J10" s="5">
        <f>IFERROR(I10*0.1,0)</f>
        <v/>
      </c>
    </row>
    <row r="11" ht="22" customHeight="1">
      <c r="B11" s="6" t="n">
        <v>7</v>
      </c>
      <c r="C11" s="6" t="inlineStr">
        <is>
          <t>Erection &amp; Commissioning</t>
        </is>
      </c>
      <c r="D11" s="6" t="inlineStr">
        <is>
          <t>5%</t>
        </is>
      </c>
      <c r="E11" s="6" t="inlineStr"/>
      <c r="F11" s="6">
        <f>IFERROR(E11*0.05,0)</f>
        <v/>
      </c>
      <c r="G11" s="6" t="inlineStr"/>
      <c r="H11" s="6">
        <f>IFERROR(G11*0.05,0)</f>
        <v/>
      </c>
      <c r="I11" s="6" t="inlineStr"/>
      <c r="J11" s="6">
        <f>IFERROR(I11*0.05,0)</f>
        <v/>
      </c>
    </row>
    <row r="12" ht="22" customHeight="1">
      <c r="B12" s="5" t="n">
        <v>8</v>
      </c>
      <c r="C12" s="5" t="inlineStr">
        <is>
          <t>Warranty &amp; After-Sales Support</t>
        </is>
      </c>
      <c r="D12" s="5" t="inlineStr">
        <is>
          <t>5%</t>
        </is>
      </c>
      <c r="E12" s="5" t="inlineStr"/>
      <c r="F12" s="5">
        <f>IFERROR(E12*0.05,0)</f>
        <v/>
      </c>
      <c r="G12" s="5" t="inlineStr"/>
      <c r="H12" s="5">
        <f>IFERROR(G12*0.05,0)</f>
        <v/>
      </c>
      <c r="I12" s="5" t="inlineStr"/>
      <c r="J12" s="5">
        <f>IFERROR(I12*0.05,0)</f>
        <v/>
      </c>
    </row>
    <row r="13" ht="22" customHeight="1">
      <c r="B13" s="6" t="n">
        <v>9</v>
      </c>
      <c r="C13" s="6" t="inlineStr">
        <is>
          <t>Cost Competitiveness</t>
        </is>
      </c>
      <c r="D13" s="6" t="inlineStr">
        <is>
          <t>10%</t>
        </is>
      </c>
      <c r="E13" s="6" t="inlineStr"/>
      <c r="F13" s="6">
        <f>IFERROR(E13*0.1,0)</f>
        <v/>
      </c>
      <c r="G13" s="6" t="inlineStr"/>
      <c r="H13" s="6">
        <f>IFERROR(G13*0.1,0)</f>
        <v/>
      </c>
      <c r="I13" s="6" t="inlineStr"/>
      <c r="J13" s="6">
        <f>IFERROR(I13*0.1,0)</f>
        <v/>
      </c>
    </row>
    <row r="14" ht="26" customHeight="1">
      <c r="B14" s="7" t="inlineStr"/>
      <c r="C14" s="7" t="inlineStr">
        <is>
          <t>TOTAL WEIGHTED SCORE</t>
        </is>
      </c>
      <c r="D14" s="7" t="inlineStr">
        <is>
          <t>100%</t>
        </is>
      </c>
      <c r="E14" s="7" t="n"/>
      <c r="F14" s="8">
        <f>SUM(F5:F13)</f>
        <v/>
      </c>
      <c r="G14" s="7" t="n"/>
      <c r="H14" s="8">
        <f>SUM(H5:H13)</f>
        <v/>
      </c>
      <c r="I14" s="7" t="n"/>
      <c r="J14" s="8">
        <f>SUM(J5:J13)</f>
        <v/>
      </c>
    </row>
    <row r="16">
      <c r="B16" s="9" t="inlineStr">
        <is>
          <t>RECOMMENDED VENDOR:</t>
        </is>
      </c>
      <c r="C16" t="inlineStr"/>
    </row>
  </sheetData>
  <mergeCells count="2">
    <mergeCell ref="C16:E16"/>
    <mergeCell ref="B2:J2"/>
  </mergeCells>
  <dataValidations count="1">
    <dataValidation sqref="E5:E13 G5:G13 I5:I13" showDropDown="0" showInputMessage="0" showErrorMessage="0" allowBlank="1" errorTitle="Invalid Score" error="Score must be between 1 and 10" promptTitle="Vendor Score" prompt="Enter score from 1 (worst) to 10 (best)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35" customWidth="1" min="3" max="3"/>
    <col width="28" customWidth="1" min="4" max="4"/>
  </cols>
  <sheetData>
    <row r="1" ht="15" customHeight="1"/>
    <row r="2" ht="32" customHeight="1">
      <c r="B2" s="1" t="inlineStr">
        <is>
          <t>Key Specifications Summary</t>
        </is>
      </c>
    </row>
    <row r="3" ht="8" customHeight="1"/>
    <row r="4" ht="28" customHeight="1">
      <c r="B4" s="2" t="inlineStr">
        <is>
          <t>Parameter</t>
        </is>
      </c>
      <c r="C4" s="2" t="inlineStr">
        <is>
          <t>Value / Specification</t>
        </is>
      </c>
      <c r="D4" s="2" t="inlineStr">
        <is>
          <t>Notes / Reference</t>
        </is>
      </c>
    </row>
    <row r="5" ht="24" customHeight="1">
      <c r="B5" s="10" t="inlineStr">
        <is>
          <t>Mast Specifications</t>
        </is>
      </c>
      <c r="C5" s="11" t="n"/>
      <c r="D5" s="11" t="n"/>
    </row>
    <row r="6" ht="22" customHeight="1">
      <c r="B6" s="6" t="inlineStr">
        <is>
          <t>Mast Type</t>
        </is>
      </c>
      <c r="C6" s="6" t="inlineStr">
        <is>
          <t>Lattice (Guyed / Self-Supporting)</t>
        </is>
      </c>
      <c r="D6" s="6" t="inlineStr">
        <is>
          <t>User Input</t>
        </is>
      </c>
    </row>
    <row r="7" ht="22" customHeight="1">
      <c r="B7" s="5" t="inlineStr">
        <is>
          <t>Mast Height (m)</t>
        </is>
      </c>
      <c r="C7" s="12" t="inlineStr"/>
      <c r="D7" s="5" t="inlineStr">
        <is>
          <t>User Input</t>
        </is>
      </c>
    </row>
    <row r="8" ht="22" customHeight="1">
      <c r="B8" s="6" t="inlineStr">
        <is>
          <t>Design Wind Speed (m/s)</t>
        </is>
      </c>
      <c r="C8" s="12" t="inlineStr"/>
      <c r="D8" s="6" t="inlineStr">
        <is>
          <t>Site-specific</t>
        </is>
      </c>
    </row>
    <row r="9" ht="22" customHeight="1">
      <c r="B9" s="5" t="inlineStr">
        <is>
          <t>Design Ice Load (mm radial)</t>
        </is>
      </c>
      <c r="C9" s="12" t="inlineStr"/>
      <c r="D9" s="5" t="inlineStr">
        <is>
          <t>Site-specific</t>
        </is>
      </c>
    </row>
    <row r="10" ht="22" customHeight="1">
      <c r="B10" s="6" t="inlineStr">
        <is>
          <t>Seismic Zone</t>
        </is>
      </c>
      <c r="C10" s="12" t="inlineStr"/>
      <c r="D10" s="6" t="inlineStr">
        <is>
          <t>Site-specific per IS 1893</t>
        </is>
      </c>
    </row>
    <row r="11" ht="22" customHeight="1">
      <c r="B11" s="5" t="inlineStr">
        <is>
          <t>Corrosion Environment</t>
        </is>
      </c>
      <c r="C11" s="5" t="inlineStr">
        <is>
          <t>Inland / Coastal / Industrial</t>
        </is>
      </c>
      <c r="D11" s="5" t="inlineStr">
        <is>
          <t>Site-specific</t>
        </is>
      </c>
    </row>
    <row r="12" ht="22" customHeight="1">
      <c r="B12" s="6" t="inlineStr">
        <is>
          <t>Design Life (years)</t>
        </is>
      </c>
      <c r="C12" s="6" t="inlineStr">
        <is>
          <t>20</t>
        </is>
      </c>
      <c r="D12" s="6" t="inlineStr">
        <is>
          <t>Minimum</t>
        </is>
      </c>
    </row>
    <row r="13" ht="24" customHeight="1">
      <c r="B13" s="10" t="inlineStr">
        <is>
          <t>Measurement Heights</t>
        </is>
      </c>
      <c r="C13" s="11" t="n"/>
      <c r="D13" s="11" t="n"/>
    </row>
    <row r="14" ht="22" customHeight="1">
      <c r="B14" s="6" t="inlineStr">
        <is>
          <t>Top Level Height (m)</t>
        </is>
      </c>
      <c r="C14" s="12" t="inlineStr"/>
      <c r="D14" s="6" t="inlineStr">
        <is>
          <t>At or near hub height</t>
        </is>
      </c>
    </row>
    <row r="15" ht="22" customHeight="1">
      <c r="B15" s="5" t="inlineStr">
        <is>
          <t>Mid Level Height (m)</t>
        </is>
      </c>
      <c r="C15" s="12" t="inlineStr"/>
      <c r="D15" s="5" t="inlineStr">
        <is>
          <t>Typically ~60m</t>
        </is>
      </c>
    </row>
    <row r="16" ht="22" customHeight="1">
      <c r="B16" s="6" t="inlineStr">
        <is>
          <t>Low Level Height (m)</t>
        </is>
      </c>
      <c r="C16" s="12" t="inlineStr"/>
      <c r="D16" s="6" t="inlineStr">
        <is>
          <t>Typically ~30-40m</t>
        </is>
      </c>
    </row>
    <row r="17" ht="22" customHeight="1">
      <c r="B17" s="5" t="inlineStr">
        <is>
          <t>Proposed Turbine Hub Height (m)</t>
        </is>
      </c>
      <c r="C17" s="12" t="inlineStr"/>
      <c r="D17" s="5" t="inlineStr">
        <is>
          <t>For reference</t>
        </is>
      </c>
    </row>
    <row r="18" ht="24" customHeight="1">
      <c r="B18" s="10" t="inlineStr">
        <is>
          <t>Anemometer Specifications</t>
        </is>
      </c>
      <c r="C18" s="11" t="n"/>
      <c r="D18" s="11" t="n"/>
    </row>
    <row r="19" ht="22" customHeight="1">
      <c r="B19" s="6" t="inlineStr">
        <is>
          <t>Anemometer Make/Model</t>
        </is>
      </c>
      <c r="C19" s="12" t="inlineStr"/>
      <c r="D19" s="6" t="inlineStr">
        <is>
          <t>Class 1 required</t>
        </is>
      </c>
    </row>
    <row r="20" ht="22" customHeight="1">
      <c r="B20" s="5" t="inlineStr">
        <is>
          <t>Number of Anemometers</t>
        </is>
      </c>
      <c r="C20" s="12" t="inlineStr"/>
      <c r="D20" s="5" t="inlineStr">
        <is>
          <t>Min 2 per height x 3 heights = 6</t>
        </is>
      </c>
    </row>
    <row r="21" ht="22" customHeight="1">
      <c r="B21" s="6" t="inlineStr">
        <is>
          <t>Calibration Lab</t>
        </is>
      </c>
      <c r="C21" s="12" t="inlineStr"/>
      <c r="D21" s="6" t="inlineStr">
        <is>
          <t>MEASNET accredited</t>
        </is>
      </c>
    </row>
    <row r="22" ht="22" customHeight="1">
      <c r="B22" s="5" t="inlineStr">
        <is>
          <t>Top-Mount Boom Length (m)</t>
        </is>
      </c>
      <c r="C22" s="12" t="inlineStr"/>
      <c r="D22" s="5" t="inlineStr">
        <is>
          <t>Dedicated top pole</t>
        </is>
      </c>
    </row>
    <row r="23" ht="22" customHeight="1">
      <c r="B23" s="6" t="inlineStr">
        <is>
          <t>Side-Mount Boom Length (m)</t>
        </is>
      </c>
      <c r="C23" s="12" t="inlineStr"/>
      <c r="D23" s="6" t="inlineStr">
        <is>
          <t>Min 6x mast face width</t>
        </is>
      </c>
    </row>
    <row r="24" ht="24" customHeight="1">
      <c r="B24" s="10" t="inlineStr">
        <is>
          <t>Data Logger Specifications</t>
        </is>
      </c>
      <c r="C24" s="11" t="n"/>
      <c r="D24" s="11" t="n"/>
    </row>
    <row r="25" ht="22" customHeight="1">
      <c r="B25" s="6" t="inlineStr">
        <is>
          <t>Data Logger Make/Model</t>
        </is>
      </c>
      <c r="C25" s="12" t="inlineStr"/>
      <c r="D25" s="6" t="inlineStr">
        <is>
          <t>NRG / Ammonit / Campbell / Wicom</t>
        </is>
      </c>
    </row>
    <row r="26" ht="22" customHeight="1">
      <c r="B26" s="5" t="inlineStr">
        <is>
          <t>Number of Channels</t>
        </is>
      </c>
      <c r="C26" s="12" t="inlineStr"/>
      <c r="D26" s="5" t="inlineStr">
        <is>
          <t>Min 12-16</t>
        </is>
      </c>
    </row>
    <row r="27" ht="22" customHeight="1">
      <c r="B27" s="6" t="inlineStr">
        <is>
          <t>Sampling Rate (Hz)</t>
        </is>
      </c>
      <c r="C27" s="6" t="inlineStr">
        <is>
          <t>1</t>
        </is>
      </c>
      <c r="D27" s="6" t="inlineStr">
        <is>
          <t>Minimum per IEC</t>
        </is>
      </c>
    </row>
    <row r="28" ht="22" customHeight="1">
      <c r="B28" s="5" t="inlineStr">
        <is>
          <t>Averaging Period (min)</t>
        </is>
      </c>
      <c r="C28" s="5" t="inlineStr">
        <is>
          <t>10</t>
        </is>
      </c>
      <c r="D28" s="5" t="inlineStr">
        <is>
          <t>Standard per IEC</t>
        </is>
      </c>
    </row>
    <row r="29" ht="22" customHeight="1">
      <c r="B29" s="6" t="inlineStr">
        <is>
          <t>GPS Time Sync</t>
        </is>
      </c>
      <c r="C29" s="6" t="inlineStr">
        <is>
          <t>Required</t>
        </is>
      </c>
      <c r="D29" s="6" t="inlineStr">
        <is>
          <t>Preferred</t>
        </is>
      </c>
    </row>
    <row r="30" ht="22" customHeight="1">
      <c r="B30" s="5" t="inlineStr">
        <is>
          <t>Primary Communication</t>
        </is>
      </c>
      <c r="C30" s="5" t="inlineStr">
        <is>
          <t>4G/LTE</t>
        </is>
      </c>
      <c r="D30" s="5" t="inlineStr"/>
    </row>
    <row r="31" ht="22" customHeight="1">
      <c r="B31" s="6" t="inlineStr">
        <is>
          <t>Backup Communication</t>
        </is>
      </c>
      <c r="C31" s="12" t="inlineStr"/>
      <c r="D31" s="6" t="inlineStr">
        <is>
          <t>Satellite for remote sites</t>
        </is>
      </c>
    </row>
    <row r="32" ht="24" customHeight="1">
      <c r="B32" s="10" t="inlineStr">
        <is>
          <t>Site Information</t>
        </is>
      </c>
      <c r="C32" s="11" t="n"/>
      <c r="D32" s="11" t="n"/>
    </row>
    <row r="33" ht="22" customHeight="1">
      <c r="B33" s="6" t="inlineStr">
        <is>
          <t>Project Name</t>
        </is>
      </c>
      <c r="C33" s="12" t="inlineStr"/>
      <c r="D33" s="6" t="inlineStr">
        <is>
          <t>User Input</t>
        </is>
      </c>
    </row>
    <row r="34" ht="22" customHeight="1">
      <c r="B34" s="5" t="inlineStr">
        <is>
          <t>Site Location</t>
        </is>
      </c>
      <c r="C34" s="12" t="inlineStr"/>
      <c r="D34" s="5" t="inlineStr">
        <is>
          <t>Latitude / Longitude</t>
        </is>
      </c>
    </row>
    <row r="35" ht="22" customHeight="1">
      <c r="B35" s="6" t="inlineStr">
        <is>
          <t>Site Elevation (m)</t>
        </is>
      </c>
      <c r="C35" s="12" t="inlineStr"/>
      <c r="D35" s="6" t="inlineStr">
        <is>
          <t>Above sea level</t>
        </is>
      </c>
    </row>
    <row r="36" ht="22" customHeight="1">
      <c r="B36" s="5" t="inlineStr">
        <is>
          <t>Terrain Type</t>
        </is>
      </c>
      <c r="C36" s="5" t="inlineStr">
        <is>
          <t>Flat / Complex / Offshore</t>
        </is>
      </c>
      <c r="D36" s="5" t="inlineStr">
        <is>
          <t>Affects flow modelling</t>
        </is>
      </c>
    </row>
    <row r="37" ht="22" customHeight="1">
      <c r="B37" s="6" t="inlineStr">
        <is>
          <t>Soil Type</t>
        </is>
      </c>
      <c r="C37" s="12" t="inlineStr"/>
      <c r="D37" s="6" t="inlineStr">
        <is>
          <t>For foundation design</t>
        </is>
      </c>
    </row>
    <row r="38" ht="22" customHeight="1">
      <c r="B38" s="5" t="inlineStr">
        <is>
          <t>Safe Bearing Capacity (kN/m2)</t>
        </is>
      </c>
      <c r="C38" s="12" t="inlineStr"/>
      <c r="D38" s="5" t="inlineStr">
        <is>
          <t>For foundation design</t>
        </is>
      </c>
    </row>
    <row r="39" ht="22" customHeight="1">
      <c r="B39" s="6" t="inlineStr">
        <is>
          <t>Water Table Depth (m)</t>
        </is>
      </c>
      <c r="C39" s="12" t="inlineStr"/>
      <c r="D39" s="6" t="inlineStr">
        <is>
          <t>For foundation design</t>
        </is>
      </c>
    </row>
  </sheetData>
  <mergeCells count="6">
    <mergeCell ref="B5:D5"/>
    <mergeCell ref="B32:D32"/>
    <mergeCell ref="B18:D18"/>
    <mergeCell ref="B13:D13"/>
    <mergeCell ref="B24:D24"/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20" customWidth="1" min="3" max="3"/>
    <col width="38" customWidth="1" min="4" max="4"/>
    <col width="42" customWidth="1" min="5" max="5"/>
    <col width="12" customWidth="1" min="6" max="6"/>
    <col width="15" customWidth="1" min="7" max="7"/>
    <col width="12" customWidth="1" min="8" max="8"/>
    <col width="20" customWidth="1" min="9" max="9"/>
  </cols>
  <sheetData>
    <row r="1" ht="15" customHeight="1"/>
    <row r="2" ht="32" customHeight="1">
      <c r="B2" s="1" t="inlineStr">
        <is>
          <t>Document Submission Checklist</t>
        </is>
      </c>
    </row>
    <row r="3" ht="8" customHeight="1"/>
    <row r="4" ht="28" customHeight="1">
      <c r="B4" s="2" t="inlineStr">
        <is>
          <t>#</t>
        </is>
      </c>
      <c r="C4" s="2" t="inlineStr">
        <is>
          <t>Category</t>
        </is>
      </c>
      <c r="D4" s="2" t="inlineStr">
        <is>
          <t>Document</t>
        </is>
      </c>
      <c r="E4" s="2" t="inlineStr">
        <is>
          <t>Description</t>
        </is>
      </c>
      <c r="F4" s="2" t="inlineStr">
        <is>
          <t>Received?</t>
        </is>
      </c>
      <c r="G4" s="2" t="inlineStr">
        <is>
          <t>Date Received</t>
        </is>
      </c>
      <c r="H4" s="2" t="inlineStr">
        <is>
          <t>Verified?</t>
        </is>
      </c>
      <c r="I4" s="2" t="inlineStr">
        <is>
          <t>Remarks</t>
        </is>
      </c>
    </row>
    <row r="5" ht="22" customHeight="1">
      <c r="B5" s="6" t="n">
        <v>1</v>
      </c>
      <c r="C5" s="6" t="inlineStr">
        <is>
          <t>Structural Design</t>
        </is>
      </c>
      <c r="D5" s="6" t="inlineStr">
        <is>
          <t>Structural Design Calculations</t>
        </is>
      </c>
      <c r="E5" s="6" t="inlineStr">
        <is>
          <t>Signed and certified by qualified structural engineer</t>
        </is>
      </c>
      <c r="F5" s="6" t="n"/>
      <c r="G5" s="6" t="n"/>
      <c r="H5" s="6" t="n"/>
      <c r="I5" s="6" t="n"/>
    </row>
    <row r="6" ht="22" customHeight="1">
      <c r="B6" s="5" t="n">
        <v>2</v>
      </c>
      <c r="C6" s="5" t="inlineStr">
        <is>
          <t>Structural Design</t>
        </is>
      </c>
      <c r="D6" s="5" t="inlineStr">
        <is>
          <t>Foundation Design Report</t>
        </is>
      </c>
      <c r="E6" s="5" t="inlineStr">
        <is>
          <t>Based on site-specific soil investigation</t>
        </is>
      </c>
      <c r="F6" s="5" t="n"/>
      <c r="G6" s="5" t="n"/>
      <c r="H6" s="5" t="n"/>
      <c r="I6" s="5" t="n"/>
    </row>
    <row r="7" ht="22" customHeight="1">
      <c r="B7" s="6" t="n">
        <v>3</v>
      </c>
      <c r="C7" s="6" t="inlineStr">
        <is>
          <t>Structural Design</t>
        </is>
      </c>
      <c r="D7" s="6" t="inlineStr">
        <is>
          <t>Design Wind Speed Certificate</t>
        </is>
      </c>
      <c r="E7" s="6" t="inlineStr">
        <is>
          <t>Site-specific 50-year return period</t>
        </is>
      </c>
      <c r="F7" s="6" t="n"/>
      <c r="G7" s="6" t="n"/>
      <c r="H7" s="6" t="n"/>
      <c r="I7" s="6" t="n"/>
    </row>
    <row r="8" ht="22" customHeight="1">
      <c r="B8" s="5" t="n">
        <v>4</v>
      </c>
      <c r="C8" s="5" t="inlineStr">
        <is>
          <t>Structural Design</t>
        </is>
      </c>
      <c r="D8" s="5" t="inlineStr">
        <is>
          <t>Third-Party Design Review Report</t>
        </is>
      </c>
      <c r="E8" s="5" t="inlineStr">
        <is>
          <t>Independent structural engineer certification</t>
        </is>
      </c>
      <c r="F8" s="5" t="n"/>
      <c r="G8" s="5" t="n"/>
      <c r="H8" s="5" t="n"/>
      <c r="I8" s="5" t="n"/>
    </row>
    <row r="9" ht="22" customHeight="1">
      <c r="B9" s="6" t="n">
        <v>5</v>
      </c>
      <c r="C9" s="6" t="inlineStr">
        <is>
          <t>Fabrication</t>
        </is>
      </c>
      <c r="D9" s="6" t="inlineStr">
        <is>
          <t>Fabrication / Shop Drawings</t>
        </is>
      </c>
      <c r="E9" s="6" t="inlineStr">
        <is>
          <t>Detailed drawings for all structural members</t>
        </is>
      </c>
      <c r="F9" s="6" t="n"/>
      <c r="G9" s="6" t="n"/>
      <c r="H9" s="6" t="n"/>
      <c r="I9" s="6" t="n"/>
    </row>
    <row r="10" ht="22" customHeight="1">
      <c r="B10" s="5" t="n">
        <v>6</v>
      </c>
      <c r="C10" s="5" t="inlineStr">
        <is>
          <t>Fabrication</t>
        </is>
      </c>
      <c r="D10" s="5" t="inlineStr">
        <is>
          <t>Material Test Certificates (Steel)</t>
        </is>
      </c>
      <c r="E10" s="5" t="inlineStr">
        <is>
          <t>Mill test certificates per IS 2062 / EN 10025</t>
        </is>
      </c>
      <c r="F10" s="5" t="n"/>
      <c r="G10" s="5" t="n"/>
      <c r="H10" s="5" t="n"/>
      <c r="I10" s="5" t="n"/>
    </row>
    <row r="11" ht="22" customHeight="1">
      <c r="B11" s="6" t="n">
        <v>7</v>
      </c>
      <c r="C11" s="6" t="inlineStr">
        <is>
          <t>Fabrication</t>
        </is>
      </c>
      <c r="D11" s="6" t="inlineStr">
        <is>
          <t>Galvanization Test Certificates</t>
        </is>
      </c>
      <c r="E11" s="6" t="inlineStr">
        <is>
          <t>Zinc coating thickness certificates per IS 2629</t>
        </is>
      </c>
      <c r="F11" s="6" t="n"/>
      <c r="G11" s="6" t="n"/>
      <c r="H11" s="6" t="n"/>
      <c r="I11" s="6" t="n"/>
    </row>
    <row r="12" ht="22" customHeight="1">
      <c r="B12" s="5" t="n">
        <v>8</v>
      </c>
      <c r="C12" s="5" t="inlineStr">
        <is>
          <t>Fabrication</t>
        </is>
      </c>
      <c r="D12" s="5" t="inlineStr">
        <is>
          <t>Welding Procedure Specifications (WPS)</t>
        </is>
      </c>
      <c r="E12" s="5" t="inlineStr">
        <is>
          <t>Per IS 816 / AWS D1.1</t>
        </is>
      </c>
      <c r="F12" s="5" t="n"/>
      <c r="G12" s="5" t="n"/>
      <c r="H12" s="5" t="n"/>
      <c r="I12" s="5" t="n"/>
    </row>
    <row r="13" ht="22" customHeight="1">
      <c r="B13" s="6" t="n">
        <v>9</v>
      </c>
      <c r="C13" s="6" t="inlineStr">
        <is>
          <t>Fabrication</t>
        </is>
      </c>
      <c r="D13" s="6" t="inlineStr">
        <is>
          <t>Welder Qualification Records</t>
        </is>
      </c>
      <c r="E13" s="6" t="inlineStr">
        <is>
          <t>Certified welder qualifications</t>
        </is>
      </c>
      <c r="F13" s="6" t="n"/>
      <c r="G13" s="6" t="n"/>
      <c r="H13" s="6" t="n"/>
      <c r="I13" s="6" t="n"/>
    </row>
    <row r="14" ht="22" customHeight="1">
      <c r="B14" s="5" t="n">
        <v>10</v>
      </c>
      <c r="C14" s="5" t="inlineStr">
        <is>
          <t>Fabrication</t>
        </is>
      </c>
      <c r="D14" s="5" t="inlineStr">
        <is>
          <t>Third-Party Inspection Report</t>
        </is>
      </c>
      <c r="E14" s="5" t="inlineStr">
        <is>
          <t>During fabrication stage</t>
        </is>
      </c>
      <c r="F14" s="5" t="n"/>
      <c r="G14" s="5" t="n"/>
      <c r="H14" s="5" t="n"/>
      <c r="I14" s="5" t="n"/>
    </row>
    <row r="15" ht="22" customHeight="1">
      <c r="B15" s="6" t="n">
        <v>11</v>
      </c>
      <c r="C15" s="6" t="inlineStr">
        <is>
          <t>Instrumentation</t>
        </is>
      </c>
      <c r="D15" s="6" t="inlineStr">
        <is>
          <t>Anemometer Calibration Certificates</t>
        </is>
      </c>
      <c r="E15" s="6" t="inlineStr">
        <is>
          <t>MEASNET-traceable, less than 2 years old</t>
        </is>
      </c>
      <c r="F15" s="6" t="n"/>
      <c r="G15" s="6" t="n"/>
      <c r="H15" s="6" t="n"/>
      <c r="I15" s="6" t="n"/>
    </row>
    <row r="16" ht="22" customHeight="1">
      <c r="B16" s="5" t="n">
        <v>12</v>
      </c>
      <c r="C16" s="5" t="inlineStr">
        <is>
          <t>Instrumentation</t>
        </is>
      </c>
      <c r="D16" s="5" t="inlineStr">
        <is>
          <t>Wind Vane Calibration Certificates</t>
        </is>
      </c>
      <c r="E16" s="5" t="inlineStr">
        <is>
          <t>Direction calibration per IEC</t>
        </is>
      </c>
      <c r="F16" s="5" t="n"/>
      <c r="G16" s="5" t="n"/>
      <c r="H16" s="5" t="n"/>
      <c r="I16" s="5" t="n"/>
    </row>
    <row r="17" ht="22" customHeight="1">
      <c r="B17" s="6" t="n">
        <v>13</v>
      </c>
      <c r="C17" s="6" t="inlineStr">
        <is>
          <t>Instrumentation</t>
        </is>
      </c>
      <c r="D17" s="6" t="inlineStr">
        <is>
          <t>Temperature Sensor Calibration Certificates</t>
        </is>
      </c>
      <c r="E17" s="6" t="inlineStr">
        <is>
          <t>Accuracy verification</t>
        </is>
      </c>
      <c r="F17" s="6" t="n"/>
      <c r="G17" s="6" t="n"/>
      <c r="H17" s="6" t="n"/>
      <c r="I17" s="6" t="n"/>
    </row>
    <row r="18" ht="22" customHeight="1">
      <c r="B18" s="5" t="n">
        <v>14</v>
      </c>
      <c r="C18" s="5" t="inlineStr">
        <is>
          <t>Instrumentation</t>
        </is>
      </c>
      <c r="D18" s="5" t="inlineStr">
        <is>
          <t>Pressure Sensor Calibration Certificate</t>
        </is>
      </c>
      <c r="E18" s="5" t="inlineStr">
        <is>
          <t>Accuracy verification</t>
        </is>
      </c>
      <c r="F18" s="5" t="n"/>
      <c r="G18" s="5" t="n"/>
      <c r="H18" s="5" t="n"/>
      <c r="I18" s="5" t="n"/>
    </row>
    <row r="19" ht="22" customHeight="1">
      <c r="B19" s="6" t="n">
        <v>15</v>
      </c>
      <c r="C19" s="6" t="inlineStr">
        <is>
          <t>Instrumentation</t>
        </is>
      </c>
      <c r="D19" s="6" t="inlineStr">
        <is>
          <t>Data Logger Calibration / Verification</t>
        </is>
      </c>
      <c r="E19" s="6" t="inlineStr">
        <is>
          <t>Channel verification report</t>
        </is>
      </c>
      <c r="F19" s="6" t="n"/>
      <c r="G19" s="6" t="n"/>
      <c r="H19" s="6" t="n"/>
      <c r="I19" s="6" t="n"/>
    </row>
    <row r="20" ht="22" customHeight="1">
      <c r="B20" s="5" t="n">
        <v>16</v>
      </c>
      <c r="C20" s="5" t="inlineStr">
        <is>
          <t>Instrumentation</t>
        </is>
      </c>
      <c r="D20" s="5" t="inlineStr">
        <is>
          <t>Tower Shadow Correction Data</t>
        </is>
      </c>
      <c r="E20" s="5" t="inlineStr">
        <is>
          <t>Wind tunnel test results or IEC methodology</t>
        </is>
      </c>
      <c r="F20" s="5" t="n"/>
      <c r="G20" s="5" t="n"/>
      <c r="H20" s="5" t="n"/>
      <c r="I20" s="5" t="n"/>
    </row>
    <row r="21" ht="22" customHeight="1">
      <c r="B21" s="6" t="n">
        <v>17</v>
      </c>
      <c r="C21" s="6" t="inlineStr">
        <is>
          <t>Installation</t>
        </is>
      </c>
      <c r="D21" s="6" t="inlineStr">
        <is>
          <t>Erection Manual</t>
        </is>
      </c>
      <c r="E21" s="6" t="inlineStr">
        <is>
          <t>Step-by-step with safety procedures</t>
        </is>
      </c>
      <c r="F21" s="6" t="n"/>
      <c r="G21" s="6" t="n"/>
      <c r="H21" s="6" t="n"/>
      <c r="I21" s="6" t="n"/>
    </row>
    <row r="22" ht="22" customHeight="1">
      <c r="B22" s="5" t="n">
        <v>18</v>
      </c>
      <c r="C22" s="5" t="inlineStr">
        <is>
          <t>Installation</t>
        </is>
      </c>
      <c r="D22" s="5" t="inlineStr">
        <is>
          <t>HSE Plan &amp; Risk Assessment</t>
        </is>
      </c>
      <c r="E22" s="5" t="inlineStr">
        <is>
          <t>Health, Safety, Environment plan</t>
        </is>
      </c>
      <c r="F22" s="5" t="n"/>
      <c r="G22" s="5" t="n"/>
      <c r="H22" s="5" t="n"/>
      <c r="I22" s="5" t="n"/>
    </row>
    <row r="23" ht="22" customHeight="1">
      <c r="B23" s="6" t="n">
        <v>19</v>
      </c>
      <c r="C23" s="6" t="inlineStr">
        <is>
          <t>Installation</t>
        </is>
      </c>
      <c r="D23" s="6" t="inlineStr">
        <is>
          <t>Erection Completion Certificate</t>
        </is>
      </c>
      <c r="E23" s="6" t="inlineStr">
        <is>
          <t>Post-erection verification</t>
        </is>
      </c>
      <c r="F23" s="6" t="n"/>
      <c r="G23" s="6" t="n"/>
      <c r="H23" s="6" t="n"/>
      <c r="I23" s="6" t="n"/>
    </row>
    <row r="24" ht="22" customHeight="1">
      <c r="B24" s="5" t="n">
        <v>20</v>
      </c>
      <c r="C24" s="5" t="inlineStr">
        <is>
          <t>Installation</t>
        </is>
      </c>
      <c r="D24" s="5" t="inlineStr">
        <is>
          <t>Plumb &amp; Alignment Certificate</t>
        </is>
      </c>
      <c r="E24" s="5" t="inlineStr">
        <is>
          <t>Verticality verification after erection</t>
        </is>
      </c>
      <c r="F24" s="5" t="n"/>
      <c r="G24" s="5" t="n"/>
      <c r="H24" s="5" t="n"/>
      <c r="I24" s="5" t="n"/>
    </row>
    <row r="25" ht="22" customHeight="1">
      <c r="B25" s="6" t="n">
        <v>21</v>
      </c>
      <c r="C25" s="6" t="inlineStr">
        <is>
          <t>Lightning Protection</t>
        </is>
      </c>
      <c r="D25" s="6" t="inlineStr">
        <is>
          <t>Lightning Protection Design Report</t>
        </is>
      </c>
      <c r="E25" s="6" t="inlineStr">
        <is>
          <t>Per IEC 62305</t>
        </is>
      </c>
      <c r="F25" s="6" t="n"/>
      <c r="G25" s="6" t="n"/>
      <c r="H25" s="6" t="n"/>
      <c r="I25" s="6" t="n"/>
    </row>
    <row r="26" ht="22" customHeight="1">
      <c r="B26" s="5" t="n">
        <v>22</v>
      </c>
      <c r="C26" s="5" t="inlineStr">
        <is>
          <t>Lightning Protection</t>
        </is>
      </c>
      <c r="D26" s="5" t="inlineStr">
        <is>
          <t>Grounding Resistance Test Report</t>
        </is>
      </c>
      <c r="E26" s="5" t="inlineStr">
        <is>
          <t>Less than 10 ohms confirmed</t>
        </is>
      </c>
      <c r="F26" s="5" t="n"/>
      <c r="G26" s="5" t="n"/>
      <c r="H26" s="5" t="n"/>
      <c r="I26" s="5" t="n"/>
    </row>
    <row r="27" ht="22" customHeight="1">
      <c r="B27" s="6" t="n">
        <v>23</v>
      </c>
      <c r="C27" s="6" t="inlineStr">
        <is>
          <t>Aviation</t>
        </is>
      </c>
      <c r="D27" s="6" t="inlineStr">
        <is>
          <t>Aviation Clearance (NOC from AAI/DGCA)</t>
        </is>
      </c>
      <c r="E27" s="6" t="inlineStr">
        <is>
          <t>Required for structures above 60m</t>
        </is>
      </c>
      <c r="F27" s="6" t="n"/>
      <c r="G27" s="6" t="n"/>
      <c r="H27" s="6" t="n"/>
      <c r="I27" s="6" t="n"/>
    </row>
    <row r="28" ht="22" customHeight="1">
      <c r="B28" s="5" t="n">
        <v>24</v>
      </c>
      <c r="C28" s="5" t="inlineStr">
        <is>
          <t>Aviation</t>
        </is>
      </c>
      <c r="D28" s="5" t="inlineStr">
        <is>
          <t>Aviation Light Installation Certificate</t>
        </is>
      </c>
      <c r="E28" s="5" t="inlineStr">
        <is>
          <t>Compliance with DGCA requirements</t>
        </is>
      </c>
      <c r="F28" s="5" t="n"/>
      <c r="G28" s="5" t="n"/>
      <c r="H28" s="5" t="n"/>
      <c r="I28" s="5" t="n"/>
    </row>
    <row r="29" ht="22" customHeight="1">
      <c r="B29" s="6" t="n">
        <v>25</v>
      </c>
      <c r="C29" s="6" t="inlineStr">
        <is>
          <t>Operation</t>
        </is>
      </c>
      <c r="D29" s="6" t="inlineStr">
        <is>
          <t>Inspection &amp; Maintenance Manual</t>
        </is>
      </c>
      <c r="E29" s="6" t="inlineStr">
        <is>
          <t>Comprehensive O&amp;M documentation</t>
        </is>
      </c>
      <c r="F29" s="6" t="n"/>
      <c r="G29" s="6" t="n"/>
      <c r="H29" s="6" t="n"/>
      <c r="I29" s="6" t="n"/>
    </row>
    <row r="30" ht="22" customHeight="1">
      <c r="B30" s="5" t="n">
        <v>26</v>
      </c>
      <c r="C30" s="5" t="inlineStr">
        <is>
          <t>Operation</t>
        </is>
      </c>
      <c r="D30" s="5" t="inlineStr">
        <is>
          <t>Sensor Replacement Procedure</t>
        </is>
      </c>
      <c r="E30" s="5" t="inlineStr">
        <is>
          <t>Guidelines for sensor swap without data loss</t>
        </is>
      </c>
      <c r="F30" s="5" t="n"/>
      <c r="G30" s="5" t="n"/>
      <c r="H30" s="5" t="n"/>
      <c r="I30" s="5" t="n"/>
    </row>
    <row r="31" ht="22" customHeight="1">
      <c r="B31" s="6" t="n">
        <v>27</v>
      </c>
      <c r="C31" s="6" t="inlineStr">
        <is>
          <t>Warranty</t>
        </is>
      </c>
      <c r="D31" s="6" t="inlineStr">
        <is>
          <t>Structural Warranty Certificate</t>
        </is>
      </c>
      <c r="E31" s="6" t="inlineStr">
        <is>
          <t>Minimum 10-15 years</t>
        </is>
      </c>
      <c r="F31" s="6" t="n"/>
      <c r="G31" s="6" t="n"/>
      <c r="H31" s="6" t="n"/>
      <c r="I31" s="6" t="n"/>
    </row>
    <row r="32" ht="22" customHeight="1">
      <c r="B32" s="5" t="n">
        <v>28</v>
      </c>
      <c r="C32" s="5" t="inlineStr">
        <is>
          <t>Warranty</t>
        </is>
      </c>
      <c r="D32" s="5" t="inlineStr">
        <is>
          <t>Instrumentation Warranty Certificate</t>
        </is>
      </c>
      <c r="E32" s="5" t="inlineStr">
        <is>
          <t>Minimum 2 years</t>
        </is>
      </c>
      <c r="F32" s="5" t="n"/>
      <c r="G32" s="5" t="n"/>
      <c r="H32" s="5" t="n"/>
      <c r="I32" s="5" t="n"/>
    </row>
  </sheetData>
  <mergeCells count="1">
    <mergeCell ref="B2:I2"/>
  </mergeCells>
  <conditionalFormatting sqref="F5:F32">
    <cfRule type="cellIs" priority="1" operator="equal" dxfId="2">
      <formula>"Yes"</formula>
    </cfRule>
    <cfRule type="cellIs" priority="2" operator="equal" dxfId="0">
      <formula>"No"</formula>
    </cfRule>
    <cfRule type="cellIs" priority="3" operator="equal" dxfId="1">
      <formula>"Pending"</formula>
    </cfRule>
  </conditionalFormatting>
  <dataValidations count="1">
    <dataValidation sqref="F5:F32 H5:H32" showDropDown="0" showInputMessage="0" showErrorMessage="0" allowBlank="1" prompt="Select status" type="list">
      <formula1>"Yes,No,Pending,N/A"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60" customWidth="1" min="3" max="3"/>
    <col width="28" customWidth="1" min="4" max="4"/>
  </cols>
  <sheetData>
    <row r="1" ht="15" customHeight="1"/>
    <row r="2" ht="32" customHeight="1">
      <c r="B2" s="1" t="inlineStr">
        <is>
          <t>IEC 61400-12-1 Quick Reference</t>
        </is>
      </c>
    </row>
    <row r="3" ht="8" customHeight="1"/>
    <row r="4" ht="28" customHeight="1">
      <c r="B4" s="2" t="inlineStr">
        <is>
          <t>Topic</t>
        </is>
      </c>
      <c r="C4" s="2" t="inlineStr">
        <is>
          <t>Requirement</t>
        </is>
      </c>
      <c r="D4" s="2" t="inlineStr">
        <is>
          <t>Reference</t>
        </is>
      </c>
    </row>
    <row r="5" ht="22" customHeight="1">
      <c r="B5" s="6" t="inlineStr">
        <is>
          <t>Measurement Heights</t>
        </is>
      </c>
      <c r="C5" s="6" t="inlineStr">
        <is>
          <t>At or near hub height; minimum 3 levels recommended</t>
        </is>
      </c>
      <c r="D5" s="6" t="inlineStr">
        <is>
          <t>IEC 61400-12-1 §5.2</t>
        </is>
      </c>
    </row>
    <row r="6" ht="22" customHeight="1">
      <c r="B6" s="5" t="inlineStr">
        <is>
          <t>Anemometer Class</t>
        </is>
      </c>
      <c r="C6" s="5" t="inlineStr">
        <is>
          <t>Class 1 cup anemometer for power performance; Class 2 for resource assessment</t>
        </is>
      </c>
      <c r="D6" s="5" t="inlineStr">
        <is>
          <t>IEC 61400-12-1 §5.3</t>
        </is>
      </c>
    </row>
    <row r="7" ht="22" customHeight="1">
      <c r="B7" s="6" t="inlineStr">
        <is>
          <t>Anemometer Calibration</t>
        </is>
      </c>
      <c r="C7" s="6" t="inlineStr">
        <is>
          <t>Individual MEASNET-traceable wind tunnel calibration for each sensor</t>
        </is>
      </c>
      <c r="D7" s="6" t="inlineStr">
        <is>
          <t>IEC 61400-12-1 §5.3.2</t>
        </is>
      </c>
    </row>
    <row r="8" ht="22" customHeight="1">
      <c r="B8" s="5" t="inlineStr">
        <is>
          <t>Redundant Anemometers</t>
        </is>
      </c>
      <c r="C8" s="5" t="inlineStr">
        <is>
          <t>Minimum 2 anemometers per measurement height</t>
        </is>
      </c>
      <c r="D8" s="5" t="inlineStr">
        <is>
          <t>IEC 61400-12-1 §5.2</t>
        </is>
      </c>
    </row>
    <row r="9" ht="22" customHeight="1">
      <c r="B9" s="6" t="inlineStr">
        <is>
          <t>Top-Mount Anemometer</t>
        </is>
      </c>
      <c r="C9" s="6" t="inlineStr">
        <is>
          <t>At least one top-mounted anemometer at mast apex</t>
        </is>
      </c>
      <c r="D9" s="6" t="inlineStr">
        <is>
          <t>IEC 61400-12-1 §5.3.4</t>
        </is>
      </c>
    </row>
    <row r="10" ht="22" customHeight="1">
      <c r="B10" s="5" t="inlineStr">
        <is>
          <t>Boom Length</t>
        </is>
      </c>
      <c r="C10" s="5" t="inlineStr">
        <is>
          <t>Minimum 6x mast face width from mast center to anemometer</t>
        </is>
      </c>
      <c r="D10" s="5" t="inlineStr">
        <is>
          <t>IEC 61400-12-1 §5.3.5</t>
        </is>
      </c>
    </row>
    <row r="11" ht="22" customHeight="1">
      <c r="B11" s="6" t="inlineStr">
        <is>
          <t>Wind Direction</t>
        </is>
      </c>
      <c r="C11" s="6" t="inlineStr">
        <is>
          <t>At least 1 wind vane; 2 recommended at different heights</t>
        </is>
      </c>
      <c r="D11" s="6" t="inlineStr">
        <is>
          <t>IEC 61400-12-1 §5.4</t>
        </is>
      </c>
    </row>
    <row r="12" ht="22" customHeight="1">
      <c r="B12" s="5" t="inlineStr">
        <is>
          <t>Temperature</t>
        </is>
      </c>
      <c r="C12" s="5" t="inlineStr">
        <is>
          <t>Air temperature measured at hub height and near ground for gradient</t>
        </is>
      </c>
      <c r="D12" s="5" t="inlineStr">
        <is>
          <t>IEC 61400-12-1 §5.5</t>
        </is>
      </c>
    </row>
    <row r="13" ht="22" customHeight="1">
      <c r="B13" s="6" t="inlineStr">
        <is>
          <t>Atmospheric Pressure</t>
        </is>
      </c>
      <c r="C13" s="6" t="inlineStr">
        <is>
          <t>Barometric pressure measurement required for air density</t>
        </is>
      </c>
      <c r="D13" s="6" t="inlineStr">
        <is>
          <t>IEC 61400-12-1 §5.6</t>
        </is>
      </c>
    </row>
    <row r="14" ht="22" customHeight="1">
      <c r="B14" s="5" t="inlineStr">
        <is>
          <t>Sampling Rate</t>
        </is>
      </c>
      <c r="C14" s="5" t="inlineStr">
        <is>
          <t>Minimum 1 Hz sampling frequency</t>
        </is>
      </c>
      <c r="D14" s="5" t="inlineStr">
        <is>
          <t>IEC 61400-12-1 §6.2</t>
        </is>
      </c>
    </row>
    <row r="15" ht="22" customHeight="1">
      <c r="B15" s="6" t="inlineStr">
        <is>
          <t>Averaging Period</t>
        </is>
      </c>
      <c r="C15" s="6" t="inlineStr">
        <is>
          <t>10-minute averaging period with mean, max, min, std dev</t>
        </is>
      </c>
      <c r="D15" s="6" t="inlineStr">
        <is>
          <t>IEC 61400-12-1 §6.3</t>
        </is>
      </c>
    </row>
    <row r="16" ht="22" customHeight="1">
      <c r="B16" s="5" t="inlineStr">
        <is>
          <t>Data Recovery</t>
        </is>
      </c>
      <c r="C16" s="5" t="inlineStr">
        <is>
          <t>Minimum 90% data recovery over measurement period for bankability</t>
        </is>
      </c>
      <c r="D16" s="5" t="inlineStr">
        <is>
          <t>Industry Standard</t>
        </is>
      </c>
    </row>
    <row r="17" ht="22" customHeight="1">
      <c r="B17" s="6" t="inlineStr">
        <is>
          <t>Tower Shadow</t>
        </is>
      </c>
      <c r="C17" s="6" t="inlineStr">
        <is>
          <t>Correction must be applied for tower shadow effects on wind speed</t>
        </is>
      </c>
      <c r="D17" s="6" t="inlineStr">
        <is>
          <t>IEC 61400-12-1 §5.3.6</t>
        </is>
      </c>
    </row>
    <row r="18" ht="22" customHeight="1">
      <c r="B18" s="5" t="inlineStr">
        <is>
          <t>Mast Siting</t>
        </is>
      </c>
      <c r="C18" s="5" t="inlineStr">
        <is>
          <t>Mast should represent the turbine site conditions; avoid obstacles</t>
        </is>
      </c>
      <c r="D18" s="5" t="inlineStr">
        <is>
          <t>IEC 61400-12-1 §5.1</t>
        </is>
      </c>
    </row>
    <row r="19" ht="22" customHeight="1">
      <c r="B19" s="6" t="inlineStr">
        <is>
          <t>Calibration Interval</t>
        </is>
      </c>
      <c r="C19" s="6" t="inlineStr">
        <is>
          <t>Anemometer recalibration recommended if used beyond 2 years</t>
        </is>
      </c>
      <c r="D19" s="6" t="inlineStr">
        <is>
          <t>MEASNET / IEC</t>
        </is>
      </c>
    </row>
  </sheetData>
  <mergeCells count="1"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2026-06-01T08:22:11Z</dcterms:created>
  <dcterms:modified xmlns:dcterms="http://purl.org/dc/terms/" xmlns:xsi="http://www.w3.org/2001/XMLSchema-instance" xsi:type="dcterms:W3CDTF">2026-06-01T08:22:11Z</dcterms:modified>
</cp:coreProperties>
</file>