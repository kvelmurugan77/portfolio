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Mast Structure" sheetId="2" state="visible" r:id="rId2"/>
    <sheet xmlns:r="http://schemas.openxmlformats.org/officeDocument/2006/relationships" name="Instrumentation" sheetId="3" state="visible" r:id="rId3"/>
    <sheet xmlns:r="http://schemas.openxmlformats.org/officeDocument/2006/relationships" name="Vendor Evaluation" sheetId="4" state="visible" r:id="rId4"/>
    <sheet xmlns:r="http://schemas.openxmlformats.org/officeDocument/2006/relationships" name="Document Checklist" sheetId="5" state="visible" r:id="rId5"/>
    <sheet xmlns:r="http://schemas.openxmlformats.org/officeDocument/2006/relationships" name="IEC Quick Reference" sheetId="6" state="visible" r:id="rId6"/>
  </sheets>
  <definedNames>
    <definedName name="_xlnm.Print_Titles" localSheetId="1">'Mast Structure'!$4:$4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1B2A4A"/>
      <sz val="11"/>
    </font>
    <font>
      <name val="Noto Sans CJK SC"/>
      <color rgb="0037352F"/>
      <sz val="11"/>
    </font>
    <font>
      <name val="Noto Sans CJK SC"/>
      <b val="1"/>
      <color rgb="001B2A4A"/>
      <sz val="12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3" borderId="0" pivotButton="0" quotePrefix="0" xfId="0"/>
    <xf numFmtId="0" fontId="3" fillId="3" borderId="0" applyAlignment="1" pivotButton="0" quotePrefix="0" xfId="0">
      <alignment horizontal="left" vertical="top" wrapText="1"/>
    </xf>
    <xf numFmtId="0" fontId="3" fillId="3" borderId="2" pivotButton="0" quotePrefix="0" xfId="0"/>
    <xf numFmtId="164" fontId="3" fillId="3" borderId="2" pivotButton="0" quotePrefix="0" xfId="0"/>
    <xf numFmtId="0" fontId="5" fillId="0" borderId="0" pivotButton="0" quotePrefix="0" xfId="0"/>
  </cellXfs>
  <cellStyles count="1">
    <cellStyle name="Normal" xfId="0" builtinId="0" hidden="0"/>
  </cellStyles>
  <dxfs count="3">
    <dxf>
      <font>
        <color rgb="00C0392B"/>
      </font>
      <fill>
        <patternFill>
          <bgColor rgb="00FDEDEC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1B7D46"/>
      </font>
      <fill>
        <patternFill>
          <b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5" customWidth="1" min="2" max="2"/>
    <col width="55" customWidth="1" min="3" max="3"/>
    <col width="45" customWidth="1" min="4" max="4"/>
  </cols>
  <sheetData>
    <row r="1" ht="15" customHeight="1"/>
    <row r="2" ht="32" customHeight="1">
      <c r="B2" s="1" t="inlineStr">
        <is>
          <t>Project Summary — Sample: Wind Farm, Tirunelveli, Tamil Nadu</t>
        </is>
      </c>
    </row>
    <row r="3" ht="8" customHeight="1"/>
    <row r="4" ht="28" customHeight="1">
      <c r="B4" s="2" t="inlineStr">
        <is>
          <t>Parameter</t>
        </is>
      </c>
      <c r="C4" s="2" t="inlineStr">
        <is>
          <t>Value / Specification</t>
        </is>
      </c>
      <c r="D4" s="2" t="inlineStr">
        <is>
          <t>Notes / Remarks</t>
        </is>
      </c>
    </row>
    <row r="5" ht="24" customHeight="1">
      <c r="B5" s="3" t="inlineStr">
        <is>
          <t>Project Information</t>
        </is>
      </c>
      <c r="C5" s="4" t="n"/>
      <c r="D5" s="4" t="n"/>
    </row>
    <row r="6" ht="22" customHeight="1">
      <c r="B6" s="5" t="inlineStr">
        <is>
          <t>Project Name</t>
        </is>
      </c>
      <c r="C6" s="5" t="inlineStr">
        <is>
          <t>Muppandal Wind Farm Extension — Phase III</t>
        </is>
      </c>
      <c r="D6" s="5" t="inlineStr"/>
    </row>
    <row r="7" ht="22" customHeight="1">
      <c r="B7" s="6" t="inlineStr">
        <is>
          <t>Developer</t>
        </is>
      </c>
      <c r="C7" s="6" t="inlineStr">
        <is>
          <t>Renewable Energy Corp. Ltd.</t>
        </is>
      </c>
      <c r="D7" s="6" t="inlineStr"/>
    </row>
    <row r="8" ht="22" customHeight="1">
      <c r="B8" s="5" t="inlineStr">
        <is>
          <t>Project Location</t>
        </is>
      </c>
      <c r="C8" s="5" t="inlineStr">
        <is>
          <t>Muppandal Village, Tirunelveli District, Tamil Nadu</t>
        </is>
      </c>
      <c r="D8" s="5" t="inlineStr"/>
    </row>
    <row r="9" ht="22" customHeight="1">
      <c r="B9" s="6" t="inlineStr">
        <is>
          <t>Site Coordinates</t>
        </is>
      </c>
      <c r="C9" s="6" t="inlineStr">
        <is>
          <t>8.7134°N, 77.6321°E (WGS 84)</t>
        </is>
      </c>
      <c r="D9" s="6" t="inlineStr">
        <is>
          <t>Approximate center of wind farm</t>
        </is>
      </c>
    </row>
    <row r="10" ht="22" customHeight="1">
      <c r="B10" s="5" t="inlineStr">
        <is>
          <t>Site Elevation</t>
        </is>
      </c>
      <c r="C10" s="5" t="inlineStr">
        <is>
          <t>Approx. 180 m above MSL</t>
        </is>
      </c>
      <c r="D10" s="5" t="inlineStr">
        <is>
          <t>Arid plateau terrain</t>
        </is>
      </c>
    </row>
    <row r="11" ht="22" customHeight="1">
      <c r="B11" s="6" t="inlineStr">
        <is>
          <t>Nearest Town</t>
        </is>
      </c>
      <c r="C11" s="6" t="inlineStr">
        <is>
          <t>Tirunelveli (35 km)</t>
        </is>
      </c>
      <c r="D11" s="6" t="inlineStr">
        <is>
          <t>For logistics and accommodation</t>
        </is>
      </c>
    </row>
    <row r="12" ht="22" customHeight="1">
      <c r="B12" s="5" t="inlineStr">
        <is>
          <t>Nearest Airport</t>
        </is>
      </c>
      <c r="C12" s="5" t="inlineStr">
        <is>
          <t>Thoothukudi Airport (90 km)</t>
        </is>
      </c>
      <c r="D12" s="5" t="inlineStr">
        <is>
          <t>For equipment transport</t>
        </is>
      </c>
    </row>
    <row r="13" ht="22" customHeight="1">
      <c r="B13" s="6" t="inlineStr">
        <is>
          <t>Access Road</t>
        </is>
      </c>
      <c r="C13" s="6" t="inlineStr">
        <is>
          <t>SH-154 + 2 km unpaved approach road</t>
        </is>
      </c>
      <c r="D13" s="6" t="inlineStr">
        <is>
          <t>Need improvement for heavy vehicles</t>
        </is>
      </c>
    </row>
    <row r="14" ht="22" customHeight="1">
      <c r="B14" s="5" t="inlineStr">
        <is>
          <t>Land Ownership</t>
        </is>
      </c>
      <c r="C14" s="5" t="inlineStr">
        <is>
          <t>Government poramboke land + private lease</t>
        </is>
      </c>
      <c r="D14" s="5" t="inlineStr">
        <is>
          <t>Clearance status pending</t>
        </is>
      </c>
    </row>
    <row r="15" ht="24" customHeight="1">
      <c r="B15" s="3" t="inlineStr">
        <is>
          <t>Mast Specification Requirements</t>
        </is>
      </c>
      <c r="C15" s="4" t="n"/>
      <c r="D15" s="4" t="n"/>
    </row>
    <row r="16" ht="22" customHeight="1">
      <c r="B16" s="5" t="inlineStr">
        <is>
          <t>Mast Type</t>
        </is>
      </c>
      <c r="C16" s="5" t="inlineStr">
        <is>
          <t>Guyed Lattice Tower</t>
        </is>
      </c>
      <c r="D16" s="5" t="inlineStr">
        <is>
          <t>Self-supporting not feasible due to foundation cost</t>
        </is>
      </c>
    </row>
    <row r="17" ht="22" customHeight="1">
      <c r="B17" s="6" t="inlineStr">
        <is>
          <t>Mast Height</t>
        </is>
      </c>
      <c r="C17" s="6" t="inlineStr">
        <is>
          <t>120 m</t>
        </is>
      </c>
      <c r="D17" s="6" t="inlineStr">
        <is>
          <t>To match proposed turbine hub height (120-140m)</t>
        </is>
      </c>
    </row>
    <row r="18" ht="22" customHeight="1">
      <c r="B18" s="5" t="inlineStr">
        <is>
          <t>Proposed Turbine</t>
        </is>
      </c>
      <c r="C18" s="5" t="inlineStr">
        <is>
          <t>Vestas V150-4.5 MW / Envision EN-171-5.0</t>
        </is>
      </c>
      <c r="D18" s="5" t="inlineStr">
        <is>
          <t>Hub height 120-140m</t>
        </is>
      </c>
    </row>
    <row r="19" ht="22" customHeight="1">
      <c r="B19" s="6" t="inlineStr">
        <is>
          <t>Number of Masts</t>
        </is>
      </c>
      <c r="C19" s="6" t="inlineStr">
        <is>
          <t>2 (this procurement: 1 no.)</t>
        </is>
      </c>
      <c r="D19" s="6" t="inlineStr">
        <is>
          <t>Second mast for sector-wise correlation</t>
        </is>
      </c>
    </row>
    <row r="20" ht="22" customHeight="1">
      <c r="B20" s="5" t="inlineStr">
        <is>
          <t>Measurement Duration</t>
        </is>
      </c>
      <c r="C20" s="5" t="inlineStr">
        <is>
          <t>24 months minimum</t>
        </is>
      </c>
      <c r="D20" s="5" t="inlineStr">
        <is>
          <t>Per IEC 61400-12-1 for bankable assessment</t>
        </is>
      </c>
    </row>
    <row r="21" ht="22" customHeight="1">
      <c r="B21" s="6" t="inlineStr">
        <is>
          <t>Data Recovery Target</t>
        </is>
      </c>
      <c r="C21" s="6" t="inlineStr">
        <is>
          <t>≥ 90% over 12-month periods</t>
        </is>
      </c>
      <c r="D21" s="6" t="inlineStr">
        <is>
          <t>Industry standard for bankability</t>
        </is>
      </c>
    </row>
    <row r="22" ht="24" customHeight="1">
      <c r="B22" s="3" t="inlineStr">
        <is>
          <t>Site Environmental Conditions</t>
        </is>
      </c>
      <c r="C22" s="4" t="n"/>
      <c r="D22" s="4" t="n"/>
    </row>
    <row r="23" ht="22" customHeight="1">
      <c r="B23" s="5" t="inlineStr">
        <is>
          <t>Wind Zone (IS 875-3)</t>
        </is>
      </c>
      <c r="C23" s="5" t="inlineStr">
        <is>
          <t>Zone IV — Basic Wind Speed Vb = 47 m/s</t>
        </is>
      </c>
      <c r="D23" s="5" t="inlineStr">
        <is>
          <t>Tamil Nadu coastal/inland</t>
        </is>
      </c>
    </row>
    <row r="24" ht="22" customHeight="1">
      <c r="B24" s="6" t="inlineStr">
        <is>
          <t>Terrain Category (IS 875-3)</t>
        </is>
      </c>
      <c r="C24" s="6" t="inlineStr">
        <is>
          <t>Category 2 — Open terrain with scattered obstructions</t>
        </is>
      </c>
      <c r="D24" s="6" t="inlineStr">
        <is>
          <t>Plateau with sparse vegetation</t>
        </is>
      </c>
    </row>
    <row r="25" ht="22" customHeight="1">
      <c r="B25" s="5" t="inlineStr">
        <is>
          <t>Design Wind Speed (50-yr return)</t>
        </is>
      </c>
      <c r="C25" s="5" t="inlineStr">
        <is>
          <t>To be computed per IS 875-3 with K1, K2, K3, K4 factors</t>
        </is>
      </c>
      <c r="D25" s="5" t="inlineStr">
        <is>
          <t>Vendor to compute and certify</t>
        </is>
      </c>
    </row>
    <row r="26" ht="22" customHeight="1">
      <c r="B26" s="6" t="inlineStr">
        <is>
          <t>Maximum Recorded Wind Speed</t>
        </is>
      </c>
      <c r="C26" s="6" t="inlineStr">
        <is>
          <t>Approx. 45 m/s (from nearby IMD station)</t>
        </is>
      </c>
      <c r="D26" s="6" t="inlineStr">
        <is>
          <t>Historical data from Nagercoil IMD</t>
        </is>
      </c>
    </row>
    <row r="27" ht="22" customHeight="1">
      <c r="B27" s="5" t="inlineStr">
        <is>
          <t>Cyclone Risk</t>
        </is>
      </c>
      <c r="C27" s="5" t="inlineStr">
        <is>
          <t>Moderate — eastern coast of Tamil Nadu</t>
        </is>
      </c>
      <c r="D27" s="5" t="inlineStr">
        <is>
          <t>Cyclone tracks from Bay of Bengal</t>
        </is>
      </c>
    </row>
    <row r="28" ht="22" customHeight="1">
      <c r="B28" s="6" t="inlineStr">
        <is>
          <t>Temperature Range</t>
        </is>
      </c>
      <c r="C28" s="6" t="inlineStr">
        <is>
          <t>20°C to 42°C</t>
        </is>
      </c>
      <c r="D28" s="6" t="inlineStr">
        <is>
          <t>Hot arid climate</t>
        </is>
      </c>
    </row>
    <row r="29" ht="22" customHeight="1">
      <c r="B29" s="5" t="inlineStr">
        <is>
          <t>Annual Rainfall</t>
        </is>
      </c>
      <c r="C29" s="5" t="inlineStr">
        <is>
          <t>600-800 mm (NE monsoon dominant)</t>
        </is>
      </c>
      <c r="D29" s="5" t="inlineStr">
        <is>
          <t>Oct-Dec heavy rain period</t>
        </is>
      </c>
    </row>
    <row r="30" ht="22" customHeight="1">
      <c r="B30" s="6" t="inlineStr">
        <is>
          <t>Humidity Range</t>
        </is>
      </c>
      <c r="C30" s="6" t="inlineStr">
        <is>
          <t>40% to 90%</t>
        </is>
      </c>
      <c r="D30" s="6" t="inlineStr">
        <is>
          <t>Coastal influence</t>
        </is>
      </c>
    </row>
    <row r="31" ht="22" customHeight="1">
      <c r="B31" s="5" t="inlineStr">
        <is>
          <t>Lightning Incidence</t>
        </is>
      </c>
      <c r="C31" s="5" t="inlineStr">
        <is>
          <t>High — 20-30 thunderstorm days/year</t>
        </is>
      </c>
      <c r="D31" s="5" t="inlineStr">
        <is>
          <t>IS 2309 / IEC 62305 Level II-III</t>
        </is>
      </c>
    </row>
    <row r="32" ht="22" customHeight="1">
      <c r="B32" s="6" t="inlineStr">
        <is>
          <t>Corrosion Environment</t>
        </is>
      </c>
      <c r="C32" s="6" t="inlineStr">
        <is>
          <t>Moderate — 40 km from coast, arid inland</t>
        </is>
      </c>
      <c r="D32" s="6" t="inlineStr">
        <is>
          <t>Not severe marine but salt dust possible</t>
        </is>
      </c>
    </row>
    <row r="33" ht="22" customHeight="1">
      <c r="B33" s="5" t="inlineStr">
        <is>
          <t>Seismic Zone (IS 1893)</t>
        </is>
      </c>
      <c r="C33" s="5" t="inlineStr">
        <is>
          <t>Zone III (Moderate)</t>
        </is>
      </c>
      <c r="D33" s="5" t="inlineStr">
        <is>
          <t>Tirunelveli district</t>
        </is>
      </c>
    </row>
    <row r="34" ht="22" customHeight="1">
      <c r="B34" s="6" t="inlineStr">
        <is>
          <t>Soil Type</t>
        </is>
      </c>
      <c r="C34" s="6" t="inlineStr">
        <is>
          <t>Medium clay / weathered rock at 2-3m depth</t>
        </is>
      </c>
      <c r="D34" s="6" t="inlineStr">
        <is>
          <t>Based on preliminary geotech</t>
        </is>
      </c>
    </row>
    <row r="35" ht="22" customHeight="1">
      <c r="B35" s="5" t="inlineStr">
        <is>
          <t>Safe Bearing Capacity</t>
        </is>
      </c>
      <c r="C35" s="5" t="inlineStr">
        <is>
          <t>150 kN/m² (assumed, pending soil test)</t>
        </is>
      </c>
      <c r="D35" s="5" t="inlineStr">
        <is>
          <t>To be confirmed by soil investigation</t>
        </is>
      </c>
    </row>
    <row r="36" ht="22" customHeight="1">
      <c r="B36" s="6" t="inlineStr">
        <is>
          <t>Ground Water Table</t>
        </is>
      </c>
      <c r="C36" s="6" t="inlineStr">
        <is>
          <t>5 m below GL (seasonal variation ±2m)</t>
        </is>
      </c>
      <c r="D36" s="6" t="inlineStr">
        <is>
          <t>Monsoon water table rise</t>
        </is>
      </c>
    </row>
    <row r="37" ht="22" customHeight="1">
      <c r="B37" s="5" t="inlineStr">
        <is>
          <t>Site Topography</t>
        </is>
      </c>
      <c r="C37" s="5" t="inlineStr">
        <is>
          <t>Complex terrain — ridgeline plateau with moderate relief</t>
        </is>
      </c>
      <c r="D37" s="5" t="inlineStr">
        <is>
          <t>Affects flow modelling approach</t>
        </is>
      </c>
    </row>
    <row r="38" ht="24" customHeight="1">
      <c r="B38" s="3" t="inlineStr">
        <is>
          <t>Regulatory Requirements</t>
        </is>
      </c>
      <c r="C38" s="4" t="n"/>
      <c r="D38" s="4" t="n"/>
    </row>
    <row r="39" ht="22" customHeight="1">
      <c r="B39" s="5" t="inlineStr">
        <is>
          <t>Aviation Clearance</t>
        </is>
      </c>
      <c r="C39" s="5" t="inlineStr">
        <is>
          <t>NOC required from AAI for height &gt; 60m</t>
        </is>
      </c>
      <c r="D39" s="5" t="inlineStr">
        <is>
          <t>Mast is 120m — mandatory</t>
        </is>
      </c>
    </row>
    <row r="40" ht="22" customHeight="1">
      <c r="B40" s="6" t="inlineStr">
        <is>
          <t>Aviation Light</t>
        </is>
      </c>
      <c r="C40" s="6" t="inlineStr">
        <is>
          <t>Low-intensity Type A red flashing light per ICAO</t>
        </is>
      </c>
      <c r="D40" s="6" t="inlineStr">
        <is>
          <t>DGCA requirement</t>
        </is>
      </c>
    </row>
    <row r="41" ht="22" customHeight="1">
      <c r="B41" s="5" t="inlineStr">
        <is>
          <t>Aviation Painting</t>
        </is>
      </c>
      <c r="C41" s="5" t="inlineStr">
        <is>
          <t>Alternate orange/white bands per AAI guidelines</t>
        </is>
      </c>
      <c r="D41" s="5" t="inlineStr">
        <is>
          <t>Entire mast height</t>
        </is>
      </c>
    </row>
    <row r="42" ht="22" customHeight="1">
      <c r="B42" s="6" t="inlineStr">
        <is>
          <t>Forest Clearance</t>
        </is>
      </c>
      <c r="C42" s="6" t="inlineStr">
        <is>
          <t>Not applicable — non-forest land</t>
        </is>
      </c>
      <c r="D42" s="6" t="inlineStr">
        <is>
          <t>To be confirmed</t>
        </is>
      </c>
    </row>
    <row r="43" ht="22" customHeight="1">
      <c r="B43" s="5" t="inlineStr">
        <is>
          <t>Environmental Clearance</t>
        </is>
      </c>
      <c r="C43" s="5" t="inlineStr">
        <is>
          <t>Not required for temporary met mast (&lt; 5 years)</t>
        </is>
      </c>
      <c r="D43" s="5" t="inlineStr">
        <is>
          <t>MoEFCC exemption</t>
        </is>
      </c>
    </row>
    <row r="44" ht="22" customHeight="1">
      <c r="B44" s="6" t="inlineStr">
        <is>
          <t>Local Body Permission</t>
        </is>
      </c>
      <c r="C44" s="6" t="inlineStr">
        <is>
          <t>Panchayat NOC required</t>
        </is>
      </c>
      <c r="D44" s="6" t="inlineStr">
        <is>
          <t>To be obtained by developer</t>
        </is>
      </c>
    </row>
    <row r="45" ht="24" customHeight="1">
      <c r="B45" s="3" t="inlineStr">
        <is>
          <t>Project Timeline</t>
        </is>
      </c>
      <c r="C45" s="4" t="n"/>
      <c r="D45" s="4" t="n"/>
    </row>
    <row r="46" ht="22" customHeight="1">
      <c r="B46" s="5" t="inlineStr">
        <is>
          <t>RFP Issue Date</t>
        </is>
      </c>
      <c r="C46" s="5" t="inlineStr">
        <is>
          <t>15-Jul-2026</t>
        </is>
      </c>
      <c r="D46" s="5" t="inlineStr"/>
    </row>
    <row r="47" ht="22" customHeight="1">
      <c r="B47" s="6" t="inlineStr">
        <is>
          <t>Bid Submission Deadline</t>
        </is>
      </c>
      <c r="C47" s="6" t="inlineStr">
        <is>
          <t>15-Aug-2026</t>
        </is>
      </c>
      <c r="D47" s="6" t="inlineStr"/>
    </row>
    <row r="48" ht="22" customHeight="1">
      <c r="B48" s="5" t="inlineStr">
        <is>
          <t>Technical Evaluation</t>
        </is>
      </c>
      <c r="C48" s="5" t="inlineStr">
        <is>
          <t>Aug 2026 (2 weeks)</t>
        </is>
      </c>
      <c r="D48" s="5" t="inlineStr"/>
    </row>
    <row r="49" ht="22" customHeight="1">
      <c r="B49" s="6" t="inlineStr">
        <is>
          <t>Commercial Evaluation</t>
        </is>
      </c>
      <c r="C49" s="6" t="inlineStr">
        <is>
          <t>Aug 2026 (1 week)</t>
        </is>
      </c>
      <c r="D49" s="6" t="inlineStr"/>
    </row>
    <row r="50" ht="22" customHeight="1">
      <c r="B50" s="5" t="inlineStr">
        <is>
          <t>Purchase Order</t>
        </is>
      </c>
      <c r="C50" s="5" t="inlineStr">
        <is>
          <t>01-Sep-2026</t>
        </is>
      </c>
      <c r="D50" s="5" t="inlineStr"/>
    </row>
    <row r="51" ht="22" customHeight="1">
      <c r="B51" s="6" t="inlineStr">
        <is>
          <t>Fabrication Period</t>
        </is>
      </c>
      <c r="C51" s="6" t="inlineStr">
        <is>
          <t>8-10 weeks from PO</t>
        </is>
      </c>
      <c r="D51" s="6" t="inlineStr">
        <is>
          <t>Vendor to confirm</t>
        </is>
      </c>
    </row>
    <row r="52" ht="22" customHeight="1">
      <c r="B52" s="5" t="inlineStr">
        <is>
          <t>Delivery to Site</t>
        </is>
      </c>
      <c r="C52" s="5" t="inlineStr">
        <is>
          <t>Nov 2026</t>
        </is>
      </c>
      <c r="D52" s="5" t="inlineStr">
        <is>
          <t>Before NE monsoon peak</t>
        </is>
      </c>
    </row>
    <row r="53" ht="22" customHeight="1">
      <c r="B53" s="6" t="inlineStr">
        <is>
          <t>Erection &amp; Commissioning</t>
        </is>
      </c>
      <c r="C53" s="6" t="inlineStr">
        <is>
          <t>Dec 2026 (target)</t>
        </is>
      </c>
      <c r="D53" s="6" t="inlineStr">
        <is>
          <t>Weather window critical</t>
        </is>
      </c>
    </row>
    <row r="54" ht="22" customHeight="1">
      <c r="B54" s="5" t="inlineStr">
        <is>
          <t>Data Collection Start</t>
        </is>
      </c>
      <c r="C54" s="5" t="inlineStr">
        <is>
          <t>01-Jan-2027</t>
        </is>
      </c>
      <c r="D54" s="5" t="inlineStr">
        <is>
          <t>24-month campaign</t>
        </is>
      </c>
    </row>
  </sheetData>
  <mergeCells count="6">
    <mergeCell ref="B5:D5"/>
    <mergeCell ref="B45:D45"/>
    <mergeCell ref="B22:D22"/>
    <mergeCell ref="B2:H2"/>
    <mergeCell ref="B15:D15"/>
    <mergeCell ref="B38:D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6" customWidth="1" min="3" max="3"/>
    <col width="28" customWidth="1" min="4" max="4"/>
    <col width="62" customWidth="1" min="5" max="5"/>
    <col width="28" customWidth="1" min="6" max="6"/>
    <col width="12" customWidth="1" min="7" max="7"/>
    <col width="22" customWidth="1" min="8" max="8"/>
    <col width="14" customWidth="1" min="9" max="9"/>
    <col width="22" customWidth="1" min="10" max="10"/>
  </cols>
  <sheetData>
    <row r="1" ht="15" customHeight="1"/>
    <row r="2" ht="32" customHeight="1">
      <c r="B2" s="1" t="inlineStr">
        <is>
          <t>Mast Structure — Procurement Checklist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Category</t>
        </is>
      </c>
      <c r="D4" s="2" t="inlineStr">
        <is>
          <t>Item</t>
        </is>
      </c>
      <c r="E4" s="2" t="inlineStr">
        <is>
          <t>What to Ask the Vendor / Specification</t>
        </is>
      </c>
      <c r="F4" s="2" t="inlineStr">
        <is>
          <t>Standard / Reference</t>
        </is>
      </c>
      <c r="G4" s="2" t="inlineStr">
        <is>
          <t>Priority</t>
        </is>
      </c>
      <c r="H4" s="2" t="inlineStr">
        <is>
          <t>Vendor Response</t>
        </is>
      </c>
      <c r="I4" s="2" t="inlineStr">
        <is>
          <t>Compliant?</t>
        </is>
      </c>
      <c r="J4" s="2" t="inlineStr">
        <is>
          <t>Remarks</t>
        </is>
      </c>
    </row>
    <row r="5" ht="22" customHeight="1">
      <c r="B5" s="7" t="n">
        <v>1</v>
      </c>
      <c r="C5" s="8" t="inlineStr">
        <is>
          <t>1. General &amp; Design Standards</t>
        </is>
      </c>
      <c r="D5" s="7" t="inlineStr">
        <is>
          <t>Mast type confirmation</t>
        </is>
      </c>
      <c r="E5" s="7" t="inlineStr">
        <is>
          <t>Confirm mast type: guyed lattice vs self-supporting. For 120m, guyed lattice is standard and cost-effective. Self-supporting requires massive foundation and is 3-4x costlier.</t>
        </is>
      </c>
      <c r="F5" s="7" t="inlineStr">
        <is>
          <t>IEC 61400-12-1 §5.1</t>
        </is>
      </c>
      <c r="G5" s="7" t="inlineStr">
        <is>
          <t>Critical</t>
        </is>
      </c>
      <c r="H5" s="7" t="inlineStr"/>
      <c r="I5" s="7" t="inlineStr"/>
      <c r="J5" s="7" t="inlineStr"/>
    </row>
    <row r="6" ht="22" customHeight="1">
      <c r="B6" s="6" t="n">
        <v>2</v>
      </c>
      <c r="D6" s="6" t="inlineStr">
        <is>
          <t>Mast height confirmation</t>
        </is>
      </c>
      <c r="E6" s="6" t="inlineStr">
        <is>
          <t>Confirm mast height: 120m above ground level (AGL). Height must match or exceed proposed turbine hub height. For 140m hub height turbines, consider 120m mast with reliable vertical extrapolation.</t>
        </is>
      </c>
      <c r="F6" s="6" t="inlineStr">
        <is>
          <t>IEC 61400-12-1</t>
        </is>
      </c>
      <c r="G6" s="6" t="inlineStr">
        <is>
          <t>Critical</t>
        </is>
      </c>
      <c r="H6" s="6" t="inlineStr"/>
      <c r="I6" s="6" t="inlineStr"/>
      <c r="J6" s="6" t="inlineStr"/>
    </row>
    <row r="7" ht="22" customHeight="1">
      <c r="B7" s="5" t="n">
        <v>3</v>
      </c>
      <c r="D7" s="5" t="inlineStr">
        <is>
          <t>Design code compliance</t>
        </is>
      </c>
      <c r="E7" s="5" t="inlineStr">
        <is>
          <t>Confirm structural design complies with IS 875 (Part 3) for wind loads, IS 1893 for seismic loads, and BS EN 1993-3-1 for steel lattice towers. Ask for compliance certificate.</t>
        </is>
      </c>
      <c r="F7" s="5" t="inlineStr">
        <is>
          <t>IS 875-3 / IS 1893 / BS EN 1993-3-1</t>
        </is>
      </c>
      <c r="G7" s="5" t="inlineStr">
        <is>
          <t>Critical</t>
        </is>
      </c>
      <c r="H7" s="5" t="inlineStr"/>
      <c r="I7" s="5" t="inlineStr"/>
      <c r="J7" s="5" t="inlineStr"/>
    </row>
    <row r="8" ht="22" customHeight="1">
      <c r="B8" s="6" t="n">
        <v>4</v>
      </c>
      <c r="D8" s="6" t="inlineStr">
        <is>
          <t>IEC 61400-12-1 compliance</t>
        </is>
      </c>
      <c r="E8" s="6" t="inlineStr">
        <is>
          <t>Confirm the complete mast setup (structural + instrumentation boom mounting locations) is designed to comply with IEC 61400-12-1 for wind measurement. This is critical for data bankability.</t>
        </is>
      </c>
      <c r="F8" s="6" t="inlineStr">
        <is>
          <t>IEC 61400-12-1</t>
        </is>
      </c>
      <c r="G8" s="6" t="inlineStr">
        <is>
          <t>Critical</t>
        </is>
      </c>
      <c r="H8" s="6" t="inlineStr"/>
      <c r="I8" s="6" t="inlineStr"/>
      <c r="J8" s="6" t="inlineStr"/>
    </row>
    <row r="9" ht="22" customHeight="1">
      <c r="B9" s="5" t="n">
        <v>5</v>
      </c>
      <c r="D9" s="5" t="inlineStr">
        <is>
          <t>Design life</t>
        </is>
      </c>
      <c r="E9" s="5" t="inlineStr">
        <is>
          <t>Specify minimum 20-year structural design life. Ask vendor to confirm design life and provide fatigue analysis if site has high vibration.</t>
        </is>
      </c>
      <c r="F9" s="5" t="inlineStr">
        <is>
          <t>IS 875-3 / Industry Practice</t>
        </is>
      </c>
      <c r="G9" s="5" t="inlineStr">
        <is>
          <t>High</t>
        </is>
      </c>
      <c r="H9" s="5" t="inlineStr"/>
      <c r="I9" s="5" t="inlineStr"/>
      <c r="J9" s="5" t="inlineStr"/>
    </row>
    <row r="10" ht="22" customHeight="1">
      <c r="B10" s="6" t="n">
        <v>6</v>
      </c>
      <c r="D10" s="6" t="inlineStr">
        <is>
          <t>Third-party design review</t>
        </is>
      </c>
      <c r="E10" s="6" t="inlineStr">
        <is>
          <t>Require that structural design is reviewed and certified by an independent qualified structural engineer (not the vendor's own engineer). Ask for the reviewer's credentials.</t>
        </is>
      </c>
      <c r="F10" s="6" t="inlineStr">
        <is>
          <t>Industry Best Practice</t>
        </is>
      </c>
      <c r="G10" s="6" t="inlineStr">
        <is>
          <t>Critical</t>
        </is>
      </c>
      <c r="H10" s="6" t="inlineStr"/>
      <c r="I10" s="6" t="inlineStr"/>
      <c r="J10" s="6" t="inlineStr"/>
    </row>
    <row r="11" ht="22" customHeight="1">
      <c r="B11" s="7" t="n">
        <v>1</v>
      </c>
      <c r="C11" s="8" t="inlineStr">
        <is>
          <t>2. Wind &amp; Environmental Loading</t>
        </is>
      </c>
      <c r="D11" s="7" t="inlineStr">
        <is>
          <t>Design wind speed</t>
        </is>
      </c>
      <c r="E11" s="7" t="inlineStr">
        <is>
          <t>Ask vendor to compute design wind speed per IS 875-3: Vd = Vb × K1 × K2 × K3 × K4. For Tirunelveli Zone IV: Vb=47 m/s, K1=1.06 (important structure), K2=1.05 (120m height), K3=1.0 (topography), K4=1.15 (cyclone-prone). Ask for design calculations.</t>
        </is>
      </c>
      <c r="F11" s="7" t="inlineStr">
        <is>
          <t>IS 875-3</t>
        </is>
      </c>
      <c r="G11" s="7" t="inlineStr">
        <is>
          <t>Critical</t>
        </is>
      </c>
      <c r="H11" s="7" t="inlineStr"/>
      <c r="I11" s="7" t="inlineStr"/>
      <c r="J11" s="7" t="inlineStr"/>
    </row>
    <row r="12" ht="22" customHeight="1">
      <c r="B12" s="6" t="n">
        <v>2</v>
      </c>
      <c r="D12" s="6" t="inlineStr">
        <is>
          <t>Survival wind speed</t>
        </is>
      </c>
      <c r="E12" s="6" t="inlineStr">
        <is>
          <t>Ask: What is the survival wind speed of the mast? Should be at least 1.3× the 50-year return period 3-second gust speed. For this site, survival wind speed should be ≥ 65 m/s.</t>
        </is>
      </c>
      <c r="F12" s="6" t="inlineStr">
        <is>
          <t>IS 875-3 / IEC 61400-12-1</t>
        </is>
      </c>
      <c r="G12" s="6" t="inlineStr">
        <is>
          <t>Critical</t>
        </is>
      </c>
      <c r="H12" s="6" t="inlineStr"/>
      <c r="I12" s="6" t="inlineStr"/>
      <c r="J12" s="6" t="inlineStr"/>
    </row>
    <row r="13" ht="22" customHeight="1">
      <c r="B13" s="5" t="n">
        <v>3</v>
      </c>
      <c r="D13" s="5" t="inlineStr">
        <is>
          <t>Cyclone resistance</t>
        </is>
      </c>
      <c r="E13" s="5" t="inlineStr">
        <is>
          <t>Ask: Is the mast designed for cyclonic wind speeds? Tamil Nadu east coast is cyclone-prone. Vendor must demonstrate cyclone-resistant design with K4 factor as per IS 875-3.</t>
        </is>
      </c>
      <c r="F13" s="5" t="inlineStr">
        <is>
          <t>IS 875-3 §6.3.3</t>
        </is>
      </c>
      <c r="G13" s="5" t="inlineStr">
        <is>
          <t>Critical</t>
        </is>
      </c>
      <c r="H13" s="5" t="inlineStr"/>
      <c r="I13" s="5" t="inlineStr"/>
      <c r="J13" s="5" t="inlineStr"/>
    </row>
    <row r="14" ht="22" customHeight="1">
      <c r="B14" s="6" t="n">
        <v>4</v>
      </c>
      <c r="D14" s="6" t="inlineStr">
        <is>
          <t>Ice loading design</t>
        </is>
      </c>
      <c r="E14" s="6" t="inlineStr">
        <is>
          <t>Ask: Has ice loading been considered? For Tamil Nadu site, ice is not a concern, but vendor should confirm ice load = 0 is acceptable. If site were in Himalayan region, radial ice of 25-50mm would be needed.</t>
        </is>
      </c>
      <c r="F14" s="6" t="inlineStr">
        <is>
          <t>IS 875-3 / BS EN 1991-1-3</t>
        </is>
      </c>
      <c r="G14" s="6" t="inlineStr">
        <is>
          <t>Medium</t>
        </is>
      </c>
      <c r="H14" s="6" t="inlineStr"/>
      <c r="I14" s="6" t="inlineStr"/>
      <c r="J14" s="6" t="inlineStr"/>
    </row>
    <row r="15" ht="22" customHeight="1">
      <c r="B15" s="5" t="n">
        <v>5</v>
      </c>
      <c r="D15" s="5" t="inlineStr">
        <is>
          <t>Seismic loading</t>
        </is>
      </c>
      <c r="E15" s="5" t="inlineStr">
        <is>
          <t>Ask: Has seismic loading been considered per IS 1893? For Zone III (Tirunelveli), seismic coefficient Ah = (Z/2) × (I/R) × (Sa/g). Vendor must provide seismic design calculations for mast + foundation.</t>
        </is>
      </c>
      <c r="F15" s="5" t="inlineStr">
        <is>
          <t>IS 1893:2016</t>
        </is>
      </c>
      <c r="G15" s="5" t="inlineStr">
        <is>
          <t>High</t>
        </is>
      </c>
      <c r="H15" s="5" t="inlineStr"/>
      <c r="I15" s="5" t="inlineStr"/>
      <c r="J15" s="5" t="inlineStr"/>
    </row>
    <row r="16" ht="22" customHeight="1">
      <c r="B16" s="6" t="n">
        <v>6</v>
      </c>
      <c r="D16" s="6" t="inlineStr">
        <is>
          <t>Temperature loading</t>
        </is>
      </c>
      <c r="E16" s="6" t="inlineStr">
        <is>
          <t>Ask: Has thermal expansion been considered? Steel expands ~12mm per 100m per 10°C. For 120m mast with 22°C temperature range, expansion can be ~30mm. Ask for expansion joint design.</t>
        </is>
      </c>
      <c r="F16" s="6" t="inlineStr">
        <is>
          <t>BS EN 1991-1-5</t>
        </is>
      </c>
      <c r="G16" s="6" t="inlineStr">
        <is>
          <t>Medium</t>
        </is>
      </c>
      <c r="H16" s="6" t="inlineStr"/>
      <c r="I16" s="6" t="inlineStr"/>
      <c r="J16" s="6" t="inlineStr"/>
    </row>
    <row r="17" ht="22" customHeight="1">
      <c r="B17" s="5" t="n">
        <v>7</v>
      </c>
      <c r="D17" s="5" t="inlineStr">
        <is>
          <t>Guy wire dynamic response</t>
        </is>
      </c>
      <c r="E17" s="5" t="inlineStr">
        <is>
          <t>Ask: Has guy wire vibration (galloping, aeolian vibration) been analyzed? Ask for dynamic analysis of guy wire system including damping measures.</t>
        </is>
      </c>
      <c r="F17" s="5" t="inlineStr">
        <is>
          <t>BS EN 1993-3-1</t>
        </is>
      </c>
      <c r="G17" s="5" t="inlineStr">
        <is>
          <t>High</t>
        </is>
      </c>
      <c r="H17" s="5" t="inlineStr"/>
      <c r="I17" s="5" t="inlineStr"/>
      <c r="J17" s="5" t="inlineStr"/>
    </row>
    <row r="18" ht="22" customHeight="1">
      <c r="B18" s="6" t="n">
        <v>8</v>
      </c>
      <c r="D18" s="6" t="inlineStr">
        <is>
          <t>Wind direction loading</t>
        </is>
      </c>
      <c r="E18" s="6" t="inlineStr">
        <is>
          <t>Ask: Has the mast been designed for wind loading from all 360° directions? IEC requires measurement from all directions, so the mast must survive wind from any direction.</t>
        </is>
      </c>
      <c r="F18" s="6" t="inlineStr">
        <is>
          <t>IS 875-3</t>
        </is>
      </c>
      <c r="G18" s="6" t="inlineStr">
        <is>
          <t>High</t>
        </is>
      </c>
      <c r="H18" s="6" t="inlineStr"/>
      <c r="I18" s="6" t="inlineStr"/>
      <c r="J18" s="6" t="inlineStr"/>
    </row>
    <row r="19" ht="22" customHeight="1">
      <c r="B19" s="7" t="n">
        <v>1</v>
      </c>
      <c r="C19" s="8" t="inlineStr">
        <is>
          <t>3. Structural Members &amp; Sections</t>
        </is>
      </c>
      <c r="D19" s="7" t="inlineStr">
        <is>
          <t>Main leg specification</t>
        </is>
      </c>
      <c r="E19" s="7" t="inlineStr">
        <is>
          <t>Ask: What is the main leg section? Typical: ISA 80×80×8 or ISA 90×90×10 angle. Ask for section properties, grade of steel (minimum E250 per IS 2062), and slenderness ratio check.</t>
        </is>
      </c>
      <c r="F19" s="7" t="inlineStr">
        <is>
          <t>IS 806 / IS 2062</t>
        </is>
      </c>
      <c r="G19" s="7" t="inlineStr">
        <is>
          <t>Critical</t>
        </is>
      </c>
      <c r="H19" s="7" t="inlineStr"/>
      <c r="I19" s="7" t="inlineStr"/>
      <c r="J19" s="7" t="inlineStr"/>
    </row>
    <row r="20" ht="22" customHeight="1">
      <c r="B20" s="6" t="n">
        <v>2</v>
      </c>
      <c r="D20" s="6" t="inlineStr">
        <is>
          <t>Bracing members</t>
        </is>
      </c>
      <c r="E20" s="6" t="inlineStr">
        <is>
          <t>Ask: What are the bracing member sections? Typically ISA 50×50×6 or ISA 60×60×6 for horizontal/diagonal bracings. Confirm all members are designed as per IS 800.</t>
        </is>
      </c>
      <c r="F20" s="6" t="inlineStr">
        <is>
          <t>IS 800</t>
        </is>
      </c>
      <c r="G20" s="6" t="inlineStr">
        <is>
          <t>High</t>
        </is>
      </c>
      <c r="H20" s="6" t="inlineStr"/>
      <c r="I20" s="6" t="inlineStr"/>
      <c r="J20" s="6" t="inlineStr"/>
    </row>
    <row r="21" ht="22" customHeight="1">
      <c r="B21" s="5" t="n">
        <v>3</v>
      </c>
      <c r="D21" s="5" t="inlineStr">
        <is>
          <t>Steel grade</t>
        </is>
      </c>
      <c r="E21" s="5" t="inlineStr">
        <is>
          <t>Specify: Minimum Grade E250 (Fe 410W) per IS 2062. For critical connections and high-stress members, consider E300 (Fe 490). Ask for mill test certificates for all steel.</t>
        </is>
      </c>
      <c r="F21" s="5" t="inlineStr">
        <is>
          <t>IS 2062 Grade E250</t>
        </is>
      </c>
      <c r="G21" s="5" t="inlineStr">
        <is>
          <t>Critical</t>
        </is>
      </c>
      <c r="H21" s="5" t="inlineStr"/>
      <c r="I21" s="5" t="inlineStr"/>
      <c r="J21" s="5" t="inlineStr"/>
    </row>
    <row r="22" ht="22" customHeight="1">
      <c r="B22" s="6" t="n">
        <v>4</v>
      </c>
      <c r="D22" s="6" t="inlineStr">
        <is>
          <t>Face width of mast</t>
        </is>
      </c>
      <c r="E22" s="6" t="inlineStr">
        <is>
          <t>Ask: What is the mast face width? Typical for 120m guyed lattice: 1.2m to 1.5m square. This directly affects anemometer boom length requirement (min 6× face width).</t>
        </is>
      </c>
      <c r="F22" s="6" t="inlineStr">
        <is>
          <t>IEC 61400-12-1</t>
        </is>
      </c>
      <c r="G22" s="6" t="inlineStr">
        <is>
          <t>Critical</t>
        </is>
      </c>
      <c r="H22" s="6" t="inlineStr"/>
      <c r="I22" s="6" t="inlineStr"/>
      <c r="J22" s="6" t="inlineStr"/>
    </row>
    <row r="23" ht="22" customHeight="1">
      <c r="B23" s="5" t="n">
        <v>5</v>
      </c>
      <c r="D23" s="5" t="inlineStr">
        <is>
          <t>Member connection type</t>
        </is>
      </c>
      <c r="E23" s="5" t="inlineStr">
        <is>
          <t>Ask: Are connections bolted or welded? Prefer bolted connections for field assembly. All HSFG bolts per IS 4000. Avoid site welding — difficult to control quality.</t>
        </is>
      </c>
      <c r="F23" s="5" t="inlineStr">
        <is>
          <t>IS 4000 / IS 800</t>
        </is>
      </c>
      <c r="G23" s="5" t="inlineStr">
        <is>
          <t>High</t>
        </is>
      </c>
      <c r="H23" s="5" t="inlineStr"/>
      <c r="I23" s="5" t="inlineStr"/>
      <c r="J23" s="5" t="inlineStr"/>
    </row>
    <row r="24" ht="22" customHeight="1">
      <c r="B24" s="6" t="n">
        <v>6</v>
      </c>
      <c r="D24" s="6" t="inlineStr">
        <is>
          <t>Base plate design</t>
        </is>
      </c>
      <c r="E24" s="6" t="inlineStr">
        <is>
          <t>Ask: What is the base plate size and thickness? Typically 400×400×20mm or larger with 4 anchor bolts. Ask for base plate design calculations.</t>
        </is>
      </c>
      <c r="F24" s="6" t="inlineStr">
        <is>
          <t>IS 800</t>
        </is>
      </c>
      <c r="G24" s="6" t="inlineStr">
        <is>
          <t>High</t>
        </is>
      </c>
      <c r="H24" s="6" t="inlineStr"/>
      <c r="I24" s="6" t="inlineStr"/>
      <c r="J24" s="6" t="inlineStr"/>
    </row>
    <row r="25" ht="22" customHeight="1">
      <c r="B25" s="5" t="n">
        <v>7</v>
      </c>
      <c r="D25" s="5" t="inlineStr">
        <is>
          <t>Anchor bolt specification</t>
        </is>
      </c>
      <c r="E25" s="5" t="inlineStr">
        <is>
          <t>Ask: What are the anchor bolt specifications? Typically M30 or M36 Grade 8.8, galvanized, with embedment length as per IS 456. Minimum 4 anchor bolts. Ask for pull-out calculations.</t>
        </is>
      </c>
      <c r="F25" s="5" t="inlineStr">
        <is>
          <t>IS 456 / IS 1363</t>
        </is>
      </c>
      <c r="G25" s="5" t="inlineStr">
        <is>
          <t>Critical</t>
        </is>
      </c>
      <c r="H25" s="5" t="inlineStr"/>
      <c r="I25" s="5" t="inlineStr"/>
      <c r="J25" s="5" t="inlineStr"/>
    </row>
    <row r="26" ht="22" customHeight="1">
      <c r="B26" s="6" t="n">
        <v>8</v>
      </c>
      <c r="D26" s="6" t="inlineStr">
        <is>
          <t>Section drawings</t>
        </is>
      </c>
      <c r="E26" s="6" t="inlineStr">
        <is>
          <t>Ask vendor to provide detailed section drawings showing all member sizes, connection details, and boom mounting locations at each measurement height.</t>
        </is>
      </c>
      <c r="F26" s="6" t="inlineStr">
        <is>
          <t>Industry Practice</t>
        </is>
      </c>
      <c r="G26" s="6" t="inlineStr">
        <is>
          <t>High</t>
        </is>
      </c>
      <c r="H26" s="6" t="inlineStr"/>
      <c r="I26" s="6" t="inlineStr"/>
      <c r="J26" s="6" t="inlineStr"/>
    </row>
    <row r="27" ht="22" customHeight="1">
      <c r="B27" s="7" t="n">
        <v>1</v>
      </c>
      <c r="C27" s="8" t="inlineStr">
        <is>
          <t>4. Guy Wire System</t>
        </is>
      </c>
      <c r="D27" s="7" t="inlineStr">
        <is>
          <t>Guy wire specification</t>
        </is>
      </c>
      <c r="E27" s="7" t="inlineStr">
        <is>
          <t>Ask: What is the guy wire specification? Should be galvanized steel wire rope per IS 2266. Typical: 20mm or 22mm diameter, 6×37 or 1×37 construction. Ask for breaking load certificate.</t>
        </is>
      </c>
      <c r="F27" s="7" t="inlineStr">
        <is>
          <t>IS 2266</t>
        </is>
      </c>
      <c r="G27" s="7" t="inlineStr">
        <is>
          <t>Critical</t>
        </is>
      </c>
      <c r="H27" s="7" t="inlineStr"/>
      <c r="I27" s="7" t="inlineStr"/>
      <c r="J27" s="7" t="inlineStr"/>
    </row>
    <row r="28" ht="22" customHeight="1">
      <c r="B28" s="6" t="n">
        <v>2</v>
      </c>
      <c r="D28" s="6" t="inlineStr">
        <is>
          <t>Guy wire configuration</t>
        </is>
      </c>
      <c r="E28" s="6" t="inlineStr">
        <is>
          <t>Ask: How many guy wire levels? For 120m mast: typically 4 levels (at 30m, 60m, 90m, 120m) with 4 wires per level (90° apart). Ask for guy wire layout drawing.</t>
        </is>
      </c>
      <c r="F28" s="6" t="inlineStr">
        <is>
          <t>Industry Practice</t>
        </is>
      </c>
      <c r="G28" s="6" t="inlineStr">
        <is>
          <t>Critical</t>
        </is>
      </c>
      <c r="H28" s="6" t="inlineStr"/>
      <c r="I28" s="6" t="inlineStr"/>
      <c r="J28" s="6" t="inlineStr"/>
    </row>
    <row r="29" ht="22" customHeight="1">
      <c r="B29" s="5" t="n">
        <v>3</v>
      </c>
      <c r="D29" s="5" t="inlineStr">
        <is>
          <t>Guy wire tensioning</t>
        </is>
      </c>
      <c r="E29" s="5" t="inlineStr">
        <is>
          <t>Ask: What is the specified guy wire pre-tension? Typically 8-12% of breaking load. Ask for tensioning procedure and equipment (come-along clamps, load cells). Tension must be checked after erection.</t>
        </is>
      </c>
      <c r="F29" s="5" t="inlineStr">
        <is>
          <t>Industry Practice</t>
        </is>
      </c>
      <c r="G29" s="5" t="inlineStr">
        <is>
          <t>High</t>
        </is>
      </c>
      <c r="H29" s="5" t="inlineStr"/>
      <c r="I29" s="5" t="inlineStr"/>
      <c r="J29" s="5" t="inlineStr"/>
    </row>
    <row r="30" ht="22" customHeight="1">
      <c r="B30" s="6" t="n">
        <v>4</v>
      </c>
      <c r="D30" s="6" t="inlineStr">
        <is>
          <t>Turnbuckles</t>
        </is>
      </c>
      <c r="E30" s="6" t="inlineStr">
        <is>
          <t>Ask: Are turnbuckles provided for tension adjustment? Specify: galvanized, forged steel, jaw-jaw or jaw-eye type per IS 4211. Size should match guy wire diameter. Ask for proof load certificates.</t>
        </is>
      </c>
      <c r="F30" s="6" t="inlineStr">
        <is>
          <t>IS 4211</t>
        </is>
      </c>
      <c r="G30" s="6" t="inlineStr">
        <is>
          <t>High</t>
        </is>
      </c>
      <c r="H30" s="6" t="inlineStr"/>
      <c r="I30" s="6" t="inlineStr"/>
      <c r="J30" s="6" t="inlineStr"/>
    </row>
    <row r="31" ht="22" customHeight="1">
      <c r="B31" s="5" t="n">
        <v>5</v>
      </c>
      <c r="D31" s="5" t="inlineStr">
        <is>
          <t>Guy anchor design</t>
        </is>
      </c>
      <c r="E31" s="5" t="inlineStr">
        <is>
          <t>Ask: How are guy anchors designed? For 150 kN/m² SBC soil: typical guy anchor is 1.5m × 1.5m × 1.2m concrete block with U-bolt eye. Ask for pull-out calculation based on actual soil parameters.</t>
        </is>
      </c>
      <c r="F31" s="5" t="inlineStr">
        <is>
          <t>IS 1904 / BS EN 1997</t>
        </is>
      </c>
      <c r="G31" s="5" t="inlineStr">
        <is>
          <t>Critical</t>
        </is>
      </c>
      <c r="H31" s="5" t="inlineStr"/>
      <c r="I31" s="5" t="inlineStr"/>
      <c r="J31" s="5" t="inlineStr"/>
    </row>
    <row r="32" ht="22" customHeight="1">
      <c r="B32" s="6" t="n">
        <v>6</v>
      </c>
      <c r="D32" s="6" t="inlineStr">
        <is>
          <t>Guy anchor distance</t>
        </is>
      </c>
      <c r="E32" s="6" t="inlineStr">
        <is>
          <t>Ask: What is the guy anchor distance from mast base? Typically 60-80% of guy attachment height. For 120m mast with 4 levels: anchors at 35-50m from base. Ask for guy geometry drawing.</t>
        </is>
      </c>
      <c r="F32" s="6" t="inlineStr">
        <is>
          <t>Industry Practice</t>
        </is>
      </c>
      <c r="G32" s="6" t="inlineStr">
        <is>
          <t>High</t>
        </is>
      </c>
      <c r="H32" s="6" t="inlineStr"/>
      <c r="I32" s="6" t="inlineStr"/>
      <c r="J32" s="6" t="inlineStr"/>
    </row>
    <row r="33" ht="22" customHeight="1">
      <c r="B33" s="5" t="n">
        <v>7</v>
      </c>
      <c r="D33" s="5" t="inlineStr">
        <is>
          <t>Guy wire insulators</t>
        </is>
      </c>
      <c r="E33" s="5" t="inlineStr">
        <is>
          <t>Ask: Are guy wire insulators (break-up insulators) provided? These prevent guy wires from resonating with radio frequencies and reduce aeolian vibration. At least 2 per wire.</t>
        </is>
      </c>
      <c r="F33" s="5" t="inlineStr">
        <is>
          <t>IEC 62305 / Industry Practice</t>
        </is>
      </c>
      <c r="G33" s="5" t="inlineStr">
        <is>
          <t>Medium</t>
        </is>
      </c>
      <c r="H33" s="5" t="inlineStr"/>
      <c r="I33" s="5" t="inlineStr"/>
      <c r="J33" s="5" t="inlineStr"/>
    </row>
    <row r="34" ht="22" customHeight="1">
      <c r="B34" s="6" t="n">
        <v>8</v>
      </c>
      <c r="D34" s="6" t="inlineStr">
        <is>
          <t>Safety factor for guys</t>
        </is>
      </c>
      <c r="E34" s="6" t="inlineStr">
        <is>
          <t>Ask: What is the safety factor for guy wires? Minimum 2.5 against breaking load as per IS 802. Ask for guy wire load calculation with all load combinations.</t>
        </is>
      </c>
      <c r="F34" s="6" t="inlineStr">
        <is>
          <t>IS 802</t>
        </is>
      </c>
      <c r="G34" s="6" t="inlineStr">
        <is>
          <t>Critical</t>
        </is>
      </c>
      <c r="H34" s="6" t="inlineStr"/>
      <c r="I34" s="6" t="inlineStr"/>
      <c r="J34" s="6" t="inlineStr"/>
    </row>
    <row r="35" ht="22" customHeight="1">
      <c r="B35" s="7" t="n">
        <v>1</v>
      </c>
      <c r="C35" s="8" t="inlineStr">
        <is>
          <t>5. Hot-Dip Galvanizing</t>
        </is>
      </c>
      <c r="D35" s="7" t="inlineStr">
        <is>
          <t>Galvanizing standard</t>
        </is>
      </c>
      <c r="E35" s="7" t="inlineStr">
        <is>
          <t>Specify: All structural steel members MUST be hot-dip galvanized per IS 2629 and IS 2633. No paint-only corrosion protection. Galvanizing is mandatory for long-term durability.</t>
        </is>
      </c>
      <c r="F35" s="7" t="inlineStr">
        <is>
          <t>IS 2629 / IS 2633</t>
        </is>
      </c>
      <c r="G35" s="7" t="inlineStr">
        <is>
          <t>Critical</t>
        </is>
      </c>
      <c r="H35" s="7" t="inlineStr"/>
      <c r="I35" s="7" t="inlineStr"/>
      <c r="J35" s="7" t="inlineStr"/>
    </row>
    <row r="36" ht="22" customHeight="1">
      <c r="B36" s="6" t="n">
        <v>2</v>
      </c>
      <c r="D36" s="6" t="inlineStr">
        <is>
          <t>Minimum zinc coating thickness</t>
        </is>
      </c>
      <c r="E36" s="6" t="inlineStr">
        <is>
          <t>Specify: Minimum zinc coating thickness of 86 microns (610 g/m²) for members ≤ 5mm thick, and 98 microns (700 g/m²) for members &gt; 5mm thick per IS 2629 Table 1. Ask vendor to confirm and provide test certificates.</t>
        </is>
      </c>
      <c r="F36" s="6" t="inlineStr">
        <is>
          <t>IS 2629 Table 1</t>
        </is>
      </c>
      <c r="G36" s="6" t="inlineStr">
        <is>
          <t>Critical</t>
        </is>
      </c>
      <c r="H36" s="6" t="inlineStr"/>
      <c r="I36" s="6" t="inlineStr"/>
      <c r="J36" s="6" t="inlineStr"/>
    </row>
    <row r="37" ht="22" customHeight="1">
      <c r="B37" s="5" t="n">
        <v>3</v>
      </c>
      <c r="D37" s="5" t="inlineStr">
        <is>
          <t>Zinc grade</t>
        </is>
      </c>
      <c r="E37" s="5" t="inlineStr">
        <is>
          <t>Specify: Zinc used for galvanizing shall be minimum Grade Zn 98 per IS 209. Ask for zinc certificate of conformity.</t>
        </is>
      </c>
      <c r="F37" s="5" t="inlineStr">
        <is>
          <t>IS 209</t>
        </is>
      </c>
      <c r="G37" s="5" t="inlineStr">
        <is>
          <t>High</t>
        </is>
      </c>
      <c r="H37" s="5" t="inlineStr"/>
      <c r="I37" s="5" t="inlineStr"/>
      <c r="J37" s="5" t="inlineStr"/>
    </row>
    <row r="38" ht="22" customHeight="1">
      <c r="B38" s="6" t="n">
        <v>4</v>
      </c>
      <c r="D38" s="6" t="inlineStr">
        <is>
          <t>Surface preparation</t>
        </is>
      </c>
      <c r="E38" s="6" t="inlineStr">
        <is>
          <t>Ask: What surface preparation is done before galvanizing? Must include degreasing, acid pickling (HCl 10-15%), fluxing (zinc ammonium chloride), and drying per IS 2629. No blast cleaning alone.</t>
        </is>
      </c>
      <c r="F38" s="6" t="inlineStr">
        <is>
          <t>IS 2629 §4</t>
        </is>
      </c>
      <c r="G38" s="6" t="inlineStr">
        <is>
          <t>High</t>
        </is>
      </c>
      <c r="H38" s="6" t="inlineStr"/>
      <c r="I38" s="6" t="inlineStr"/>
      <c r="J38" s="6" t="inlineStr"/>
    </row>
    <row r="39" ht="22" customHeight="1">
      <c r="B39" s="5" t="n">
        <v>5</v>
      </c>
      <c r="D39" s="5" t="inlineStr">
        <is>
          <t>Galvanizing bath temperature</t>
        </is>
      </c>
      <c r="E39" s="5" t="inlineStr">
        <is>
          <t>Ask: What is the galvanizing bath temperature? Should be 440-460°C per IS 2629. Over-temperature causes brittle Fe-Zn alloy layers. Ask for bath temperature records.</t>
        </is>
      </c>
      <c r="F39" s="5" t="inlineStr">
        <is>
          <t>IS 2629</t>
        </is>
      </c>
      <c r="G39" s="5" t="inlineStr">
        <is>
          <t>High</t>
        </is>
      </c>
      <c r="H39" s="5" t="inlineStr"/>
      <c r="I39" s="5" t="inlineStr"/>
      <c r="J39" s="5" t="inlineStr"/>
    </row>
    <row r="40" ht="22" customHeight="1">
      <c r="B40" s="6" t="n">
        <v>6</v>
      </c>
      <c r="D40" s="6" t="inlineStr">
        <is>
          <t>Dipping time</t>
        </is>
      </c>
      <c r="E40" s="6" t="inlineStr">
        <is>
          <t>Ask: What is the typical dipping time? For structural angles: 4-8 minutes per IS 2629. Under-dipping = thin coating; over-dipping = thick but brittle coating. Ask for process records.</t>
        </is>
      </c>
      <c r="F40" s="6" t="inlineStr">
        <is>
          <t>IS 2629</t>
        </is>
      </c>
      <c r="G40" s="6" t="inlineStr">
        <is>
          <t>Medium</t>
        </is>
      </c>
      <c r="H40" s="6" t="inlineStr"/>
      <c r="I40" s="6" t="inlineStr"/>
      <c r="J40" s="6" t="inlineStr"/>
    </row>
    <row r="41" ht="22" customHeight="1">
      <c r="B41" s="5" t="n">
        <v>7</v>
      </c>
      <c r="D41" s="5" t="inlineStr">
        <is>
          <t>Centrifuging for small parts</t>
        </is>
      </c>
      <c r="E41" s="5" t="inlineStr">
        <is>
          <t>Ask: Are small parts (bolts, nuts, washers, clips) centrifuged after galvanizing to remove excess zinc? Required per IS 2629 §5.3. Prevents thread clogging and ensures proper fit.</t>
        </is>
      </c>
      <c r="F41" s="5" t="inlineStr">
        <is>
          <t>IS 2629 §5.3</t>
        </is>
      </c>
      <c r="G41" s="5" t="inlineStr">
        <is>
          <t>High</t>
        </is>
      </c>
      <c r="H41" s="5" t="inlineStr"/>
      <c r="I41" s="5" t="inlineStr"/>
      <c r="J41" s="5" t="inlineStr"/>
    </row>
    <row r="42" ht="22" customHeight="1">
      <c r="B42" s="6" t="n">
        <v>8</v>
      </c>
      <c r="D42" s="6" t="inlineStr">
        <is>
          <t>Thread protection</t>
        </is>
      </c>
      <c r="E42" s="6" t="inlineStr">
        <is>
          <t>Ask: How are galvanized bolt threads protected? Oversize tapping of nuts per IS 1363 Part 3 is standard. Threads must be clean and free of zinc runs. Ask for thread gauge check procedure.</t>
        </is>
      </c>
      <c r="F42" s="6" t="inlineStr">
        <is>
          <t>IS 1363 Part 3</t>
        </is>
      </c>
      <c r="G42" s="6" t="inlineStr">
        <is>
          <t>High</t>
        </is>
      </c>
      <c r="H42" s="6" t="inlineStr"/>
      <c r="I42" s="6" t="inlineStr"/>
      <c r="J42" s="6" t="inlineStr"/>
    </row>
    <row r="43" ht="22" customHeight="1">
      <c r="B43" s="5" t="n">
        <v>9</v>
      </c>
      <c r="D43" s="5" t="inlineStr">
        <is>
          <t>Repair of damaged galvanizing</t>
        </is>
      </c>
      <c r="E43" s="5" t="inlineStr">
        <is>
          <t>Ask: What is the procedure for repairing damaged galvanizing (transport/erection damage)? Must use zinc-rich paint per IS 2629 §6 with minimum 92% zinc in dry film. Ask for repair procedure documentation.</t>
        </is>
      </c>
      <c r="F43" s="5" t="inlineStr">
        <is>
          <t>IS 2629 §6</t>
        </is>
      </c>
      <c r="G43" s="5" t="inlineStr">
        <is>
          <t>High</t>
        </is>
      </c>
      <c r="H43" s="5" t="inlineStr"/>
      <c r="I43" s="5" t="inlineStr"/>
      <c r="J43" s="5" t="inlineStr"/>
    </row>
    <row r="44" ht="22" customHeight="1">
      <c r="B44" s="6" t="n">
        <v>10</v>
      </c>
      <c r="D44" s="6" t="inlineStr">
        <is>
          <t>Galvanizing test certificates</t>
        </is>
      </c>
      <c r="E44" s="6" t="inlineStr">
        <is>
          <t>Require: Zinc coating thickness test certificates per IS 2633 for each batch. Test method: magnetic thickness gauge (IS 6932) or gravimetric method (IS 2633). Ask for sample test reports.</t>
        </is>
      </c>
      <c r="F44" s="6" t="inlineStr">
        <is>
          <t>IS 2633 / IS 6932</t>
        </is>
      </c>
      <c r="G44" s="6" t="inlineStr">
        <is>
          <t>Critical</t>
        </is>
      </c>
      <c r="H44" s="6" t="inlineStr"/>
      <c r="I44" s="6" t="inlineStr"/>
      <c r="J44" s="6" t="inlineStr"/>
    </row>
    <row r="45" ht="22" customHeight="1">
      <c r="B45" s="5" t="n">
        <v>11</v>
      </c>
      <c r="D45" s="5" t="inlineStr">
        <is>
          <t>Adhesion test</t>
        </is>
      </c>
      <c r="E45" s="5" t="inlineStr">
        <is>
          <t>Ask: Is adhesion testing performed per IS 2629? Pali knife test or bend test to confirm zinc-steel bond. No peeling or flaking acceptable.</t>
        </is>
      </c>
      <c r="F45" s="5" t="inlineStr">
        <is>
          <t>IS 2629 §7</t>
        </is>
      </c>
      <c r="G45" s="5" t="inlineStr">
        <is>
          <t>High</t>
        </is>
      </c>
      <c r="H45" s="5" t="inlineStr"/>
      <c r="I45" s="5" t="inlineStr"/>
      <c r="J45" s="5" t="inlineStr"/>
    </row>
    <row r="46" ht="22" customHeight="1">
      <c r="B46" s="6" t="n">
        <v>12</v>
      </c>
      <c r="D46" s="6" t="inlineStr">
        <is>
          <t>Uniformity test</t>
        </is>
      </c>
      <c r="E46" s="6" t="inlineStr">
        <is>
          <t>Ask: Is uniformity of coating tested per IS 2633 using copper sulfate immersion test (Preece test)? Minimum 4 dips without copper deposition on base metal.</t>
        </is>
      </c>
      <c r="F46" s="6" t="inlineStr">
        <is>
          <t>IS 2633 §5</t>
        </is>
      </c>
      <c r="G46" s="6" t="inlineStr">
        <is>
          <t>High</t>
        </is>
      </c>
      <c r="H46" s="6" t="inlineStr"/>
      <c r="I46" s="6" t="inlineStr"/>
      <c r="J46" s="6" t="inlineStr"/>
    </row>
    <row r="47" ht="22" customHeight="1">
      <c r="B47" s="5" t="n">
        <v>13</v>
      </c>
      <c r="D47" s="5" t="inlineStr">
        <is>
          <t>Appearance</t>
        </is>
      </c>
      <c r="E47" s="5" t="inlineStr">
        <is>
          <t>Specify: Galvanized surface shall be smooth, continuous, and free from bare spots, dross inclusions, zinc runs, and acid stains per IS 2629. Ask for photo documentation of sample galvanized members.</t>
        </is>
      </c>
      <c r="F47" s="5" t="inlineStr">
        <is>
          <t>IS 2629 §7</t>
        </is>
      </c>
      <c r="G47" s="5" t="inlineStr">
        <is>
          <t>Medium</t>
        </is>
      </c>
      <c r="H47" s="5" t="inlineStr"/>
      <c r="I47" s="5" t="inlineStr"/>
      <c r="J47" s="5" t="inlineStr"/>
    </row>
    <row r="48" ht="22" customHeight="1">
      <c r="B48" s="6" t="n">
        <v>14</v>
      </c>
      <c r="D48" s="6" t="inlineStr">
        <is>
          <t>Galvanizing after fabrication</t>
        </is>
      </c>
      <c r="E48" s="6" t="inlineStr">
        <is>
          <t>CRITICAL: Specify that ALL fabrication (cutting, drilling, welding) must be completed BEFORE galvanizing. No cutting or drilling after galvanizing. Any post-galvanizing modification requires zinc-rich paint repair.</t>
        </is>
      </c>
      <c r="F48" s="6" t="inlineStr">
        <is>
          <t>IS 2629 / Industry Practice</t>
        </is>
      </c>
      <c r="G48" s="6" t="inlineStr">
        <is>
          <t>Critical</t>
        </is>
      </c>
      <c r="H48" s="6" t="inlineStr"/>
      <c r="I48" s="6" t="inlineStr"/>
      <c r="J48" s="6" t="inlineStr"/>
    </row>
    <row r="49" ht="22" customHeight="1">
      <c r="B49" s="7" t="n">
        <v>1</v>
      </c>
      <c r="C49" s="8" t="inlineStr">
        <is>
          <t>6. Painting &amp; Aviation Marking</t>
        </is>
      </c>
      <c r="D49" s="7" t="inlineStr">
        <is>
          <t>Aviation band painting specification</t>
        </is>
      </c>
      <c r="E49" s="7" t="inlineStr">
        <is>
          <t>Specify: Alternate bands of international orange (IS 5 — Shade 597) and white (IS 5 — Shade 631) per AAI/DGCA requirements. Band width: 6m for 120m mast (approximately 20 bands total).</t>
        </is>
      </c>
      <c r="F49" s="7" t="inlineStr">
        <is>
          <t>AAI NOC Conditions / ICAO Annex 14</t>
        </is>
      </c>
      <c r="G49" s="7" t="inlineStr">
        <is>
          <t>Critical</t>
        </is>
      </c>
      <c r="H49" s="7" t="inlineStr"/>
      <c r="I49" s="7" t="inlineStr"/>
      <c r="J49" s="7" t="inlineStr"/>
    </row>
    <row r="50" ht="22" customHeight="1">
      <c r="B50" s="6" t="n">
        <v>2</v>
      </c>
      <c r="D50" s="6" t="inlineStr">
        <is>
          <t>Paint system for aviation bands</t>
        </is>
      </c>
      <c r="E50" s="6" t="inlineStr">
        <is>
          <t>Specify: Primer — zinc chromate primer (1 coat, 35 microns DFT); Intermediate — epoxy micaceous iron oxide (2 coats, 100 microns DFT); Finish — synthetic enamel PU (2 coats, 40 microns DFT). Total DFT: 175 microns over galvanized surface.</t>
        </is>
      </c>
      <c r="F50" s="6" t="inlineStr">
        <is>
          <t>IS 1477 / IS 2074 / MORTH Spec</t>
        </is>
      </c>
      <c r="G50" s="6" t="inlineStr">
        <is>
          <t>High</t>
        </is>
      </c>
      <c r="H50" s="6" t="inlineStr"/>
      <c r="I50" s="6" t="inlineStr"/>
      <c r="J50" s="6" t="inlineStr"/>
    </row>
    <row r="51" ht="22" customHeight="1">
      <c r="B51" s="5" t="n">
        <v>3</v>
      </c>
      <c r="D51" s="5" t="inlineStr">
        <is>
          <t>Surface preparation for painting</t>
        </is>
      </c>
      <c r="E51" s="5" t="inlineStr">
        <is>
          <t>Ask: How is surface prepared for painting over galvanizing? Must use sweep blasting (aluminum oxide, 0.3-0.5 bar pressure) or etch primer per IS 1477. Direct paint on fresh galvanizing will peel.</t>
        </is>
      </c>
      <c r="F51" s="5" t="inlineStr">
        <is>
          <t>IS 1477 / SSPC SP 16</t>
        </is>
      </c>
      <c r="G51" s="5" t="inlineStr">
        <is>
          <t>High</t>
        </is>
      </c>
      <c r="H51" s="5" t="inlineStr"/>
      <c r="I51" s="5" t="inlineStr"/>
      <c r="J51" s="5" t="inlineStr"/>
    </row>
    <row r="52" ht="22" customHeight="1">
      <c r="B52" s="6" t="n">
        <v>4</v>
      </c>
      <c r="D52" s="6" t="inlineStr">
        <is>
          <t>Paint manufacturer</t>
        </is>
      </c>
      <c r="E52" s="6" t="inlineStr">
        <is>
          <t>Ask: Which paint manufacturer? Specify approved brands: Asian Paints, Berger, Nippon, or Jotun. Ask for paint technical data sheets and compatibility with galvanized surface.</t>
        </is>
      </c>
      <c r="F52" s="6" t="inlineStr">
        <is>
          <t>Industry Practice</t>
        </is>
      </c>
      <c r="G52" s="6" t="inlineStr">
        <is>
          <t>Medium</t>
        </is>
      </c>
      <c r="H52" s="6" t="inlineStr"/>
      <c r="I52" s="6" t="inlineStr"/>
      <c r="J52" s="6" t="inlineStr"/>
    </row>
    <row r="53" ht="22" customHeight="1">
      <c r="B53" s="5" t="n">
        <v>5</v>
      </c>
      <c r="D53" s="5" t="inlineStr">
        <is>
          <t>Dry Film Thickness (DFT) measurement</t>
        </is>
      </c>
      <c r="E53" s="5" t="inlineStr">
        <is>
          <t>Ask: Will DFT be measured per coat? Specify DFT measurement with electronic gauge per IS 5665 at point of manufacture and after erection. Minimum 5 readings per 10 m².</t>
        </is>
      </c>
      <c r="F53" s="5" t="inlineStr">
        <is>
          <t>IS 5665 / ISO 19840</t>
        </is>
      </c>
      <c r="G53" s="5" t="inlineStr">
        <is>
          <t>High</t>
        </is>
      </c>
      <c r="H53" s="5" t="inlineStr"/>
      <c r="I53" s="5" t="inlineStr"/>
      <c r="J53" s="5" t="inlineStr"/>
    </row>
    <row r="54" ht="22" customHeight="1">
      <c r="B54" s="6" t="n">
        <v>6</v>
      </c>
      <c r="D54" s="6" t="inlineStr">
        <is>
          <t>Aviation warning light type</t>
        </is>
      </c>
      <c r="E54" s="6" t="inlineStr">
        <is>
          <t>Specify: Low-intensity Type A red flashing light per ICAO Annex 14, Chapter 6. Minimum 2 lights (top + 60m level). Flash rate: 60-90 flashes per minute. Peak intensity: ≥ 10 cd.</t>
        </is>
      </c>
      <c r="F54" s="6" t="inlineStr">
        <is>
          <t>ICAO Annex 14 / DGCA CAR Section 8</t>
        </is>
      </c>
      <c r="G54" s="6" t="inlineStr">
        <is>
          <t>Critical</t>
        </is>
      </c>
      <c r="H54" s="6" t="inlineStr"/>
      <c r="I54" s="6" t="inlineStr"/>
      <c r="J54" s="6" t="inlineStr"/>
    </row>
    <row r="55" ht="22" customHeight="1">
      <c r="B55" s="5" t="n">
        <v>7</v>
      </c>
      <c r="D55" s="5" t="inlineStr">
        <is>
          <t>Aviation light power supply</t>
        </is>
      </c>
      <c r="E55" s="5" t="inlineStr">
        <is>
          <t>Ask: Is the aviation light solar-powered? Specify: Solar panel + battery backup for minimum 48 hours continuous operation. Battery must be maintenance-free VRLA type. Ask for battery capacity calculation.</t>
        </is>
      </c>
      <c r="F55" s="5" t="inlineStr">
        <is>
          <t>Industry Practice</t>
        </is>
      </c>
      <c r="G55" s="5" t="inlineStr">
        <is>
          <t>High</t>
        </is>
      </c>
      <c r="H55" s="5" t="inlineStr"/>
      <c r="I55" s="5" t="inlineStr"/>
      <c r="J55" s="5" t="inlineStr"/>
    </row>
    <row r="56" ht="22" customHeight="1">
      <c r="B56" s="6" t="n">
        <v>8</v>
      </c>
      <c r="D56" s="6" t="inlineStr">
        <is>
          <t>Aviation light compliance certificate</t>
        </is>
      </c>
      <c r="E56" s="6" t="inlineStr">
        <is>
          <t>Require: Type test certificate for aviation light from DGCA-approved lab. Light must meet ICAO Annex 14 Type A specifications. Ask for certificate copy.</t>
        </is>
      </c>
      <c r="F56" s="6" t="inlineStr">
        <is>
          <t>ICAO Annex 14 / DGCA</t>
        </is>
      </c>
      <c r="G56" s="6" t="inlineStr">
        <is>
          <t>Critical</t>
        </is>
      </c>
      <c r="H56" s="6" t="inlineStr"/>
      <c r="I56" s="6" t="inlineStr"/>
      <c r="J56" s="6" t="inlineStr"/>
    </row>
    <row r="57" ht="22" customHeight="1">
      <c r="B57" s="7" t="n">
        <v>1</v>
      </c>
      <c r="C57" s="8" t="inlineStr">
        <is>
          <t>7. Corrosion Protection &amp; Durability</t>
        </is>
      </c>
      <c r="D57" s="7" t="inlineStr">
        <is>
          <t>Corrosivity category</t>
        </is>
      </c>
      <c r="E57" s="7" t="inlineStr">
        <is>
          <t>Ask: What atmospheric corrosivity category is the mast designed for? Per IS 11724 / ISO 9223, specify Category C3 (moderate) for Tirunelveli inland or Category C4 (high) if within 5 km of coast. Our site is ~40 km from coast — C3 is adequate.</t>
        </is>
      </c>
      <c r="F57" s="7" t="inlineStr">
        <is>
          <t>IS 11724 / ISO 9223</t>
        </is>
      </c>
      <c r="G57" s="7" t="inlineStr">
        <is>
          <t>High</t>
        </is>
      </c>
      <c r="H57" s="7" t="inlineStr"/>
      <c r="I57" s="7" t="inlineStr"/>
      <c r="J57" s="7" t="inlineStr"/>
    </row>
    <row r="58" ht="22" customHeight="1">
      <c r="B58" s="6" t="n">
        <v>2</v>
      </c>
      <c r="D58" s="6" t="inlineStr">
        <is>
          <t>Salt spray test</t>
        </is>
      </c>
      <c r="E58" s="6" t="inlineStr">
        <is>
          <t>Ask: Has the galvanizing been salt spray tested per IS 9844 / ASTM B117? For C3 environment, galvanized coating should pass minimum 1000 hours salt spray test without red rust. Ask for test certificates.</t>
        </is>
      </c>
      <c r="F58" s="6" t="inlineStr">
        <is>
          <t>IS 9844 / ASTM B117</t>
        </is>
      </c>
      <c r="G58" s="6" t="inlineStr">
        <is>
          <t>High</t>
        </is>
      </c>
      <c r="H58" s="6" t="inlineStr"/>
      <c r="I58" s="6" t="inlineStr"/>
      <c r="J58" s="6" t="inlineStr"/>
    </row>
    <row r="59" ht="22" customHeight="1">
      <c r="B59" s="5" t="n">
        <v>3</v>
      </c>
      <c r="D59" s="5" t="inlineStr">
        <is>
          <t>Coating life expectancy</t>
        </is>
      </c>
      <c r="E59" s="5" t="inlineStr">
        <is>
          <t>Ask: What is the estimated time to first maintenance for the galvanized coating? Per IS 2629 / ISO 9224: for C3 environment, 86-micron galvanizing should last 20-25 years to first maintenance. Vendor to confirm.</t>
        </is>
      </c>
      <c r="F59" s="5" t="inlineStr">
        <is>
          <t>ISO 9224 / IS 2629</t>
        </is>
      </c>
      <c r="G59" s="5" t="inlineStr">
        <is>
          <t>High</t>
        </is>
      </c>
      <c r="H59" s="5" t="inlineStr"/>
      <c r="I59" s="5" t="inlineStr"/>
      <c r="J59" s="5" t="inlineStr"/>
    </row>
    <row r="60" ht="22" customHeight="1">
      <c r="B60" s="6" t="n">
        <v>4</v>
      </c>
      <c r="D60" s="6" t="inlineStr">
        <is>
          <t>Touch-up procedure for transit damage</t>
        </is>
      </c>
      <c r="E60" s="6" t="inlineStr">
        <is>
          <t>Ask: What is the procedure for touch-up of galvanizing damaged during transport/erection? Must use zinc-rich paint (92% zinc in dry film, per IS 2629) or zinc-alloy solder. Minimum 2 coats. Vendor to provide repair kit.</t>
        </is>
      </c>
      <c r="F60" s="6" t="inlineStr">
        <is>
          <t>IS 2629 §6</t>
        </is>
      </c>
      <c r="G60" s="6" t="inlineStr">
        <is>
          <t>High</t>
        </is>
      </c>
      <c r="H60" s="6" t="inlineStr"/>
      <c r="I60" s="6" t="inlineStr"/>
      <c r="J60" s="6" t="inlineStr"/>
    </row>
    <row r="61" ht="22" customHeight="1">
      <c r="B61" s="5" t="n">
        <v>5</v>
      </c>
      <c r="D61" s="5" t="inlineStr">
        <is>
          <t>Bolt galvanizing</t>
        </is>
      </c>
      <c r="E61" s="5" t="inlineStr">
        <is>
          <t>Specify: ALL bolts, nuts, and washers must be hot-dip galvanized per IS 1363 Part 3. No black bolts. Nuts must be oversize tapped after galvanizing. Ask for galvanizing certificates for fasteners.</t>
        </is>
      </c>
      <c r="F61" s="5" t="inlineStr">
        <is>
          <t>IS 1363 Part 3 / IS 2629</t>
        </is>
      </c>
      <c r="G61" s="5" t="inlineStr">
        <is>
          <t>Critical</t>
        </is>
      </c>
      <c r="H61" s="5" t="inlineStr"/>
      <c r="I61" s="5" t="inlineStr"/>
      <c r="J61" s="5" t="inlineStr"/>
    </row>
    <row r="62" ht="22" customHeight="1">
      <c r="B62" s="6" t="n">
        <v>6</v>
      </c>
      <c r="D62" s="6" t="inlineStr">
        <is>
          <t>Guy wire corrosion protection</t>
        </is>
      </c>
      <c r="E62" s="6" t="inlineStr">
        <is>
          <t>Ask: Are guy wires galvanized? Specify: Guy wire rope must be galvanized per IS 2266 Class A (heaviest coating). Ask for galvanizing class certificate from wire rope manufacturer.</t>
        </is>
      </c>
      <c r="F62" s="6" t="inlineStr">
        <is>
          <t>IS 2266</t>
        </is>
      </c>
      <c r="G62" s="6" t="inlineStr">
        <is>
          <t>Critical</t>
        </is>
      </c>
      <c r="H62" s="6" t="inlineStr"/>
      <c r="I62" s="6" t="inlineStr"/>
      <c r="J62" s="6" t="inlineStr"/>
    </row>
    <row r="63" ht="22" customHeight="1">
      <c r="B63" s="5" t="n">
        <v>7</v>
      </c>
      <c r="D63" s="5" t="inlineStr">
        <is>
          <t>Dissimilar metal isolation</t>
        </is>
      </c>
      <c r="E63" s="5" t="inlineStr">
        <is>
          <t>Ask: Are dissimilar metals isolated? Stainless steel and galvanized steel in contact cause galvanic corrosion. Ask for isolation details (neoprene washers, nylon sleeves) at all stainless-to-galvanized interfaces.</t>
        </is>
      </c>
      <c r="F63" s="5" t="inlineStr">
        <is>
          <t>IS 11724 / Industry Practice</t>
        </is>
      </c>
      <c r="G63" s="5" t="inlineStr">
        <is>
          <t>Medium</t>
        </is>
      </c>
      <c r="H63" s="5" t="inlineStr"/>
      <c r="I63" s="5" t="inlineStr"/>
      <c r="J63" s="5" t="inlineStr"/>
    </row>
    <row r="64" ht="22" customHeight="1">
      <c r="B64" s="6" t="n">
        <v>8</v>
      </c>
      <c r="D64" s="6" t="inlineStr">
        <is>
          <t>Water entrapment prevention</t>
        </is>
      </c>
      <c r="E64" s="6" t="inlineStr">
        <is>
          <t>Ask: Are structural member orientations designed to prevent water entrapment? Angles should be oriented with horizontal leg facing down (tubular members should have drain holes). Ask for orientation drawing.</t>
        </is>
      </c>
      <c r="F64" s="6" t="inlineStr">
        <is>
          <t>IS 2629 / Industry Practice</t>
        </is>
      </c>
      <c r="G64" s="6" t="inlineStr">
        <is>
          <t>High</t>
        </is>
      </c>
      <c r="H64" s="6" t="inlineStr"/>
      <c r="I64" s="6" t="inlineStr"/>
      <c r="J64" s="6" t="inlineStr"/>
    </row>
    <row r="65" ht="22" customHeight="1">
      <c r="B65" s="5" t="n">
        <v>9</v>
      </c>
      <c r="D65" s="5" t="inlineStr">
        <is>
          <t>Sealant at joints</t>
        </is>
      </c>
      <c r="E65" s="5" t="inlineStr">
        <is>
          <t>Ask: Are bolted joints sealed with mastic or sealant to prevent crevice corrosion? Specify: All site bolted connections must receive bead of butyl mastic sealant after torque check.</t>
        </is>
      </c>
      <c r="F65" s="5" t="inlineStr">
        <is>
          <t>Industry Practice</t>
        </is>
      </c>
      <c r="G65" s="5" t="inlineStr">
        <is>
          <t>Medium</t>
        </is>
      </c>
      <c r="H65" s="5" t="inlineStr"/>
      <c r="I65" s="5" t="inlineStr"/>
      <c r="J65" s="5" t="inlineStr"/>
    </row>
    <row r="66" ht="22" customHeight="1">
      <c r="B66" s="7" t="n">
        <v>1</v>
      </c>
      <c r="C66" s="8" t="inlineStr">
        <is>
          <t>8. Bolting &amp; Fasteners</t>
        </is>
      </c>
      <c r="D66" s="7" t="inlineStr">
        <is>
          <t>Bolt grade</t>
        </is>
      </c>
      <c r="E66" s="7" t="inlineStr">
        <is>
          <t>Specify: All structural bolts must be HSFG Grade 8.8 per IS 1363 Part 1 as minimum. For critical connections (base plate, guy attachments), use Grade 10.9. Ask for bolt test certificates per IS 1363.</t>
        </is>
      </c>
      <c r="F66" s="7" t="inlineStr">
        <is>
          <t>IS 1363 Part 1 / IS 4000</t>
        </is>
      </c>
      <c r="G66" s="7" t="inlineStr">
        <is>
          <t>Critical</t>
        </is>
      </c>
      <c r="H66" s="7" t="inlineStr"/>
      <c r="I66" s="7" t="inlineStr"/>
      <c r="J66" s="7" t="inlineStr"/>
    </row>
    <row r="67" ht="22" customHeight="1">
      <c r="B67" s="5" t="n">
        <v>2</v>
      </c>
      <c r="D67" s="5" t="inlineStr">
        <is>
          <t>Bolt diameter</t>
        </is>
      </c>
      <c r="E67" s="5" t="inlineStr">
        <is>
          <t>Ask: What bolt diameters are used? Typical: M16 for bracing connections, M20/M24 for main leg splices, M30/M36 for base plate. Ask for bolt schedule with sizes, grades, and quantities.</t>
        </is>
      </c>
      <c r="F67" s="5" t="inlineStr">
        <is>
          <t>IS 800 / IS 4000</t>
        </is>
      </c>
      <c r="G67" s="5" t="inlineStr">
        <is>
          <t>High</t>
        </is>
      </c>
      <c r="H67" s="5" t="inlineStr"/>
      <c r="I67" s="5" t="inlineStr"/>
      <c r="J67" s="5" t="inlineStr"/>
    </row>
    <row r="68" ht="22" customHeight="1">
      <c r="B68" s="6" t="n">
        <v>3</v>
      </c>
      <c r="D68" s="6" t="inlineStr">
        <is>
          <t>Nut specification</t>
        </is>
      </c>
      <c r="E68" s="6" t="inlineStr">
        <is>
          <t>Specify: Nuts per IS 1363 Part 2, Grade 8 or 10 matching bolt grade. Must be oversize tapped after galvanizing per IS 1363 Part 3. Ask for nut test certificates.</t>
        </is>
      </c>
      <c r="F68" s="6" t="inlineStr">
        <is>
          <t>IS 1363 Part 2 &amp; 3</t>
        </is>
      </c>
      <c r="G68" s="6" t="inlineStr">
        <is>
          <t>Critical</t>
        </is>
      </c>
      <c r="H68" s="6" t="inlineStr"/>
      <c r="I68" s="6" t="inlineStr"/>
      <c r="J68" s="6" t="inlineStr"/>
    </row>
    <row r="69" ht="22" customHeight="1">
      <c r="B69" s="5" t="n">
        <v>4</v>
      </c>
      <c r="D69" s="5" t="inlineStr">
        <is>
          <t>Washer specification</t>
        </is>
      </c>
      <c r="E69" s="5" t="inlineStr">
        <is>
          <t>Specify: Hardened flat washers per IS 2016, galvanized. Spring washers per IS 3063 for vibration-prone connections. Ask for washer specification and quantity.</t>
        </is>
      </c>
      <c r="F69" s="5" t="inlineStr">
        <is>
          <t>IS 2016 / IS 3063</t>
        </is>
      </c>
      <c r="G69" s="5" t="inlineStr">
        <is>
          <t>High</t>
        </is>
      </c>
      <c r="H69" s="5" t="inlineStr"/>
      <c r="I69" s="5" t="inlineStr"/>
      <c r="J69" s="5" t="inlineStr"/>
    </row>
    <row r="70" ht="22" customHeight="1">
      <c r="B70" s="6" t="n">
        <v>5</v>
      </c>
      <c r="D70" s="6" t="inlineStr">
        <is>
          <t>Torque specification</t>
        </is>
      </c>
      <c r="E70" s="6" t="inlineStr">
        <is>
          <t>Ask: What is the required torque for each bolt size? Per IS 4000, typical: M16 = 135 Nm, M20 = 260 Nm, M24 = 450 Nm. Ask for torque specification table and require torque wrench calibration certificates.</t>
        </is>
      </c>
      <c r="F70" s="6" t="inlineStr">
        <is>
          <t>IS 4000</t>
        </is>
      </c>
      <c r="G70" s="6" t="inlineStr">
        <is>
          <t>Critical</t>
        </is>
      </c>
      <c r="H70" s="6" t="inlineStr"/>
      <c r="I70" s="6" t="inlineStr"/>
      <c r="J70" s="6" t="inlineStr"/>
    </row>
    <row r="71" ht="22" customHeight="1">
      <c r="B71" s="5" t="n">
        <v>6</v>
      </c>
      <c r="D71" s="5" t="inlineStr">
        <is>
          <t>Torque verification</t>
        </is>
      </c>
      <c r="E71" s="5" t="inlineStr">
        <is>
          <t>Require: All HSFG bolted connections must be torque-verified after erection using calibrated torque wrench. Provide torque verification report for each connection. Random check: minimum 10% of bolts.</t>
        </is>
      </c>
      <c r="F71" s="5" t="inlineStr">
        <is>
          <t>IS 4000 / Industry Practice</t>
        </is>
      </c>
      <c r="G71" s="5" t="inlineStr">
        <is>
          <t>Critical</t>
        </is>
      </c>
      <c r="H71" s="5" t="inlineStr"/>
      <c r="I71" s="5" t="inlineStr"/>
      <c r="J71" s="5" t="inlineStr"/>
    </row>
    <row r="72" ht="22" customHeight="1">
      <c r="B72" s="6" t="n">
        <v>7</v>
      </c>
      <c r="D72" s="6" t="inlineStr">
        <is>
          <t>Anti-vibration measures</t>
        </is>
      </c>
      <c r="E72" s="6" t="inlineStr">
        <is>
          <t>Ask: Are anti-vibration measures provided? Specify: Nyloc nuts or double nuts with spring washers on all vibrating connections. Wire locking on critical guy wire attachments. Ask for anti-vibration fastener details.</t>
        </is>
      </c>
      <c r="F72" s="6" t="inlineStr">
        <is>
          <t>Industry Practice</t>
        </is>
      </c>
      <c r="G72" s="6" t="inlineStr">
        <is>
          <t>High</t>
        </is>
      </c>
      <c r="H72" s="6" t="inlineStr"/>
      <c r="I72" s="6" t="inlineStr"/>
      <c r="J72" s="6" t="inlineStr"/>
    </row>
    <row r="73" ht="22" customHeight="1">
      <c r="B73" s="5" t="n">
        <v>8</v>
      </c>
      <c r="D73" s="5" t="inlineStr">
        <is>
          <t>Bolt quantity and BOM</t>
        </is>
      </c>
      <c r="E73" s="5" t="inlineStr">
        <is>
          <t>Ask: Does vendor provide complete Bill of Materials (BOM) with bolt counts for each size, grade, and location? Essential for site inventory and QC. Ask for BOM with 5% spares.</t>
        </is>
      </c>
      <c r="F73" s="5" t="inlineStr">
        <is>
          <t>Industry Practice</t>
        </is>
      </c>
      <c r="G73" s="5" t="inlineStr">
        <is>
          <t>High</t>
        </is>
      </c>
      <c r="H73" s="5" t="inlineStr"/>
      <c r="I73" s="5" t="inlineStr"/>
      <c r="J73" s="5" t="inlineStr"/>
    </row>
    <row r="74" ht="22" customHeight="1">
      <c r="B74" s="7" t="n">
        <v>1</v>
      </c>
      <c r="C74" s="8" t="inlineStr">
        <is>
          <t>9. Welding (Shop Fabrication)</t>
        </is>
      </c>
      <c r="D74" s="7" t="inlineStr">
        <is>
          <t>Welding standard</t>
        </is>
      </c>
      <c r="E74" s="7" t="inlineStr">
        <is>
          <t>Specify: All shop welding per IS 816 or AWS D1.1. No site welding allowed — all welding in controlled factory environment. Ask for Welding Procedure Specifications (WPS).</t>
        </is>
      </c>
      <c r="F74" s="7" t="inlineStr">
        <is>
          <t>IS 816 / AWS D1.1</t>
        </is>
      </c>
      <c r="G74" s="7" t="inlineStr">
        <is>
          <t>Critical</t>
        </is>
      </c>
      <c r="H74" s="7" t="inlineStr"/>
      <c r="I74" s="7" t="inlineStr"/>
      <c r="J74" s="7" t="inlineStr"/>
    </row>
    <row r="75" ht="22" customHeight="1">
      <c r="B75" s="5" t="n">
        <v>2</v>
      </c>
      <c r="D75" s="5" t="inlineStr">
        <is>
          <t>Welder qualification</t>
        </is>
      </c>
      <c r="E75" s="5" t="inlineStr">
        <is>
          <t>Ask: Are all welders qualified per IS 817 or AWS D1.1? Require welder qualification test certificates. Each welder must have valid qualification for the joint type and position.</t>
        </is>
      </c>
      <c r="F75" s="5" t="inlineStr">
        <is>
          <t>IS 817 / AWS D1.1</t>
        </is>
      </c>
      <c r="G75" s="5" t="inlineStr">
        <is>
          <t>Critical</t>
        </is>
      </c>
      <c r="H75" s="5" t="inlineStr"/>
      <c r="I75" s="5" t="inlineStr"/>
      <c r="J75" s="5" t="inlineStr"/>
    </row>
    <row r="76" ht="22" customHeight="1">
      <c r="B76" s="6" t="n">
        <v>3</v>
      </c>
      <c r="D76" s="6" t="inlineStr">
        <is>
          <t>Weld type</t>
        </is>
      </c>
      <c r="E76" s="6" t="inlineStr">
        <is>
          <t>Ask: What weld types are used? Fillet welds for angle-to-gusset connections. Partial penetration welds for base plate. Ask for weld size verification — minimum leg length per IS 816.</t>
        </is>
      </c>
      <c r="F76" s="6" t="inlineStr">
        <is>
          <t>IS 816 / IS 800</t>
        </is>
      </c>
      <c r="G76" s="6" t="inlineStr">
        <is>
          <t>High</t>
        </is>
      </c>
      <c r="H76" s="6" t="inlineStr"/>
      <c r="I76" s="6" t="inlineStr"/>
      <c r="J76" s="6" t="inlineStr"/>
    </row>
    <row r="77" ht="22" customHeight="1">
      <c r="B77" s="5" t="n">
        <v>4</v>
      </c>
      <c r="D77" s="5" t="inlineStr">
        <is>
          <t>Weld inspection</t>
        </is>
      </c>
      <c r="E77" s="5" t="inlineStr">
        <is>
          <t>Ask: What NDT is performed on welds? Specify: 100% visual inspection per IS 8174, 10% MT/PT for fillet welds, 100% UT for butt welds. Ask for NDT reports from certified inspector.</t>
        </is>
      </c>
      <c r="F77" s="5" t="inlineStr">
        <is>
          <t>IS 8174 / IS 9595 / IS 13886</t>
        </is>
      </c>
      <c r="G77" s="5" t="inlineStr">
        <is>
          <t>High</t>
        </is>
      </c>
      <c r="H77" s="5" t="inlineStr"/>
      <c r="I77" s="5" t="inlineStr"/>
      <c r="J77" s="5" t="inlineStr"/>
    </row>
    <row r="78" ht="22" customHeight="1">
      <c r="B78" s="6" t="n">
        <v>5</v>
      </c>
      <c r="D78" s="6" t="inlineStr">
        <is>
          <t>Weld quality acceptance</t>
        </is>
      </c>
      <c r="E78" s="6" t="inlineStr">
        <is>
          <t>Specify: No cracks, porosity, undercut, spatter, or incomplete penetration acceptable. All welds must meet IS 8174 acceptance criteria. Ask for weld inspection reports with photographs.</t>
        </is>
      </c>
      <c r="F78" s="6" t="inlineStr">
        <is>
          <t>IS 8174</t>
        </is>
      </c>
      <c r="G78" s="6" t="inlineStr">
        <is>
          <t>High</t>
        </is>
      </c>
      <c r="H78" s="6" t="inlineStr"/>
      <c r="I78" s="6" t="inlineStr"/>
      <c r="J78" s="6" t="inlineStr"/>
    </row>
    <row r="79" ht="22" customHeight="1">
      <c r="B79" s="5" t="n">
        <v>6</v>
      </c>
      <c r="D79" s="5" t="inlineStr">
        <is>
          <t>Weld repair procedure</t>
        </is>
      </c>
      <c r="E79" s="5" t="inlineStr">
        <is>
          <t>Ask: What is the weld repair procedure? Defective welds must be gouged out and re-welded per approved WPS. Maximum 2 repairs per joint. Ask for repair procedure documentation.</t>
        </is>
      </c>
      <c r="F79" s="5" t="inlineStr">
        <is>
          <t>IS 816 / AWS D1.1</t>
        </is>
      </c>
      <c r="G79" s="5" t="inlineStr">
        <is>
          <t>Medium</t>
        </is>
      </c>
      <c r="H79" s="5" t="inlineStr"/>
      <c r="I79" s="5" t="inlineStr"/>
      <c r="J79" s="5" t="inlineStr"/>
    </row>
    <row r="80" ht="22" customHeight="1">
      <c r="B80" s="7" t="n">
        <v>1</v>
      </c>
      <c r="C80" s="8" t="inlineStr">
        <is>
          <t>10. Foundation Design</t>
        </is>
      </c>
      <c r="D80" s="7" t="inlineStr">
        <is>
          <t>Foundation type</t>
        </is>
      </c>
      <c r="E80" s="7" t="inlineStr">
        <is>
          <t>Ask: What foundation type is proposed? For guyed mast: typically reinforced concrete block foundation at base + separate guy anchor blocks. For 120m guyed mast: base block approx 2.5m × 2.5m × 2.0m, each guy anchor approx 1.5m × 1.5m × 1.2m.</t>
        </is>
      </c>
      <c r="F80" s="7" t="inlineStr">
        <is>
          <t>IS 1904 / IS 456</t>
        </is>
      </c>
      <c r="G80" s="7" t="inlineStr">
        <is>
          <t>Critical</t>
        </is>
      </c>
      <c r="H80" s="7" t="inlineStr"/>
      <c r="I80" s="7" t="inlineStr"/>
      <c r="J80" s="7" t="inlineStr"/>
    </row>
    <row r="81" ht="22" customHeight="1">
      <c r="B81" s="5" t="n">
        <v>2</v>
      </c>
      <c r="D81" s="5" t="inlineStr">
        <is>
          <t>Concrete grade</t>
        </is>
      </c>
      <c r="E81" s="5" t="inlineStr">
        <is>
          <t>Specify: Minimum M25 grade concrete per IS 456 for all foundations. M30 for guy anchor blocks in aggressive soil. Ask for concrete mix design and cube test results (28-day strength).</t>
        </is>
      </c>
      <c r="F81" s="5" t="inlineStr">
        <is>
          <t>IS 456</t>
        </is>
      </c>
      <c r="G81" s="5" t="inlineStr">
        <is>
          <t>Critical</t>
        </is>
      </c>
      <c r="H81" s="5" t="inlineStr"/>
      <c r="I81" s="5" t="inlineStr"/>
      <c r="J81" s="5" t="inlineStr"/>
    </row>
    <row r="82" ht="22" customHeight="1">
      <c r="B82" s="6" t="n">
        <v>3</v>
      </c>
      <c r="D82" s="6" t="inlineStr">
        <is>
          <t>Reinforcement steel</t>
        </is>
      </c>
      <c r="E82" s="6" t="inlineStr">
        <is>
          <t>Specify: Fe 500D TMT bars per IS 1786. Minimum reinforcement: 0.25% of cross-section for columns, 0.2% for footings per IS 456. Ask for bar bending schedule.</t>
        </is>
      </c>
      <c r="F82" s="6" t="inlineStr">
        <is>
          <t>IS 1786 / IS 456</t>
        </is>
      </c>
      <c r="G82" s="6" t="inlineStr">
        <is>
          <t>Critical</t>
        </is>
      </c>
      <c r="H82" s="6" t="inlineStr"/>
      <c r="I82" s="6" t="inlineStr"/>
      <c r="J82" s="6" t="inlineStr"/>
    </row>
    <row r="83" ht="22" customHeight="1">
      <c r="B83" s="5" t="n">
        <v>4</v>
      </c>
      <c r="D83" s="5" t="inlineStr">
        <is>
          <t>Anchor bolt embedment</t>
        </is>
      </c>
      <c r="E83" s="5" t="inlineStr">
        <is>
          <t>Ask: What is the anchor bolt embedment length in concrete? Per IS 456, minimum embedment = 40× bolt diameter for hooked anchors. For M30: minimum 1200mm embedment. Ask for pull-out calculation.</t>
        </is>
      </c>
      <c r="F83" s="5" t="inlineStr">
        <is>
          <t>IS 456</t>
        </is>
      </c>
      <c r="G83" s="5" t="inlineStr">
        <is>
          <t>Critical</t>
        </is>
      </c>
      <c r="H83" s="5" t="inlineStr"/>
      <c r="I83" s="5" t="inlineStr"/>
      <c r="J83" s="5" t="inlineStr"/>
    </row>
    <row r="84" ht="22" customHeight="1">
      <c r="B84" s="6" t="n">
        <v>5</v>
      </c>
      <c r="D84" s="6" t="inlineStr">
        <is>
          <t>Soil parameters assumed</t>
        </is>
      </c>
      <c r="E84" s="6" t="inlineStr">
        <is>
          <t>Ask: What soil parameters does the vendor assume for foundation design? For our site: SBC = 150 kN/m², water table = 5m BGL, soil type = medium clay / weathered rock. Vendor must confirm foundation design for these parameters.</t>
        </is>
      </c>
      <c r="F84" s="6" t="inlineStr">
        <is>
          <t>IS 1904 / IS 6403</t>
        </is>
      </c>
      <c r="G84" s="6" t="inlineStr">
        <is>
          <t>Critical</t>
        </is>
      </c>
      <c r="H84" s="6" t="inlineStr"/>
      <c r="I84" s="6" t="inlineStr"/>
      <c r="J84" s="6" t="inlineStr"/>
    </row>
    <row r="85" ht="22" customHeight="1">
      <c r="B85" s="5" t="n">
        <v>6</v>
      </c>
      <c r="D85" s="5" t="inlineStr">
        <is>
          <t>Foundation design report</t>
        </is>
      </c>
      <c r="E85" s="5" t="inlineStr">
        <is>
          <t>Require: Complete foundation design report with SBC verification, overturning check, sliding check, pull-out check for guy anchors, and settlement analysis. Signed by qualified structural engineer.</t>
        </is>
      </c>
      <c r="F85" s="5" t="inlineStr">
        <is>
          <t>IS 1904 / IS 456</t>
        </is>
      </c>
      <c r="G85" s="5" t="inlineStr">
        <is>
          <t>Critical</t>
        </is>
      </c>
      <c r="H85" s="5" t="inlineStr"/>
      <c r="I85" s="5" t="inlineStr"/>
      <c r="J85" s="5" t="inlineStr"/>
    </row>
    <row r="86" ht="22" customHeight="1">
      <c r="B86" s="6" t="n">
        <v>7</v>
      </c>
      <c r="D86" s="6" t="inlineStr">
        <is>
          <t>Backfill specification</t>
        </is>
      </c>
      <c r="E86" s="6" t="inlineStr">
        <is>
          <t>Ask: What is the backfill specification? Specify: Backfill with selected excavated soil in 200mm layers, compacted to 95% MDD per IS 2720 Part 8. Guy anchor backfill is critical — ask for compaction test procedure.</t>
        </is>
      </c>
      <c r="F86" s="6" t="inlineStr">
        <is>
          <t>IS 2720 / IS 1904</t>
        </is>
      </c>
      <c r="G86" s="6" t="inlineStr">
        <is>
          <t>High</t>
        </is>
      </c>
      <c r="H86" s="6" t="inlineStr"/>
      <c r="I86" s="6" t="inlineStr"/>
      <c r="J86" s="6" t="inlineStr"/>
    </row>
    <row r="87" ht="22" customHeight="1">
      <c r="B87" s="7" t="n">
        <v>1</v>
      </c>
      <c r="C87" s="8" t="inlineStr">
        <is>
          <t>11. Erection &amp; Commissioning</t>
        </is>
      </c>
      <c r="D87" s="7" t="inlineStr">
        <is>
          <t>Erection method</t>
        </is>
      </c>
      <c r="E87" s="7" t="inlineStr">
        <is>
          <t>Ask: What is the erection method? For 120m guyed lattice: gin pole method is standard. Crane is rarely feasible for 120m height. Ask for step-by-step erection procedure with sequence drawings.</t>
        </is>
      </c>
      <c r="F87" s="7" t="inlineStr">
        <is>
          <t>Industry Practice</t>
        </is>
      </c>
      <c r="G87" s="7" t="inlineStr">
        <is>
          <t>Critical</t>
        </is>
      </c>
      <c r="H87" s="7" t="inlineStr"/>
      <c r="I87" s="7" t="inlineStr"/>
      <c r="J87" s="7" t="inlineStr"/>
    </row>
    <row r="88" ht="22" customHeight="1">
      <c r="B88" s="6" t="n">
        <v>2</v>
      </c>
      <c r="D88" s="6" t="inlineStr">
        <is>
          <t>Erection duration</t>
        </is>
      </c>
      <c r="E88" s="6" t="inlineStr">
        <is>
          <t>Ask: What is the estimated erection duration? Typical: 5-7 days for 120m guyed mast with 6-person crew. Ask for detailed erection schedule including weather contingency.</t>
        </is>
      </c>
      <c r="F88" s="6" t="inlineStr">
        <is>
          <t>Industry Practice</t>
        </is>
      </c>
      <c r="G88" s="6" t="inlineStr">
        <is>
          <t>High</t>
        </is>
      </c>
      <c r="H88" s="6" t="inlineStr"/>
      <c r="I88" s="6" t="inlineStr"/>
      <c r="J88" s="6" t="inlineStr"/>
    </row>
    <row r="89" ht="22" customHeight="1">
      <c r="B89" s="5" t="n">
        <v>3</v>
      </c>
      <c r="D89" s="5" t="inlineStr">
        <is>
          <t>Crew qualification</t>
        </is>
      </c>
      <c r="E89" s="5" t="inlineStr">
        <is>
          <t>Ask: Are erectors certified and experienced? Require: minimum 3 similar mast erections in last 5 years. Ask for crew CV/experience certificates. At least 1 rigger with valid certification.</t>
        </is>
      </c>
      <c r="F89" s="5" t="inlineStr">
        <is>
          <t>Industry Practice</t>
        </is>
      </c>
      <c r="G89" s="5" t="inlineStr">
        <is>
          <t>High</t>
        </is>
      </c>
      <c r="H89" s="5" t="inlineStr"/>
      <c r="I89" s="5" t="inlineStr"/>
      <c r="J89" s="5" t="inlineStr"/>
    </row>
    <row r="90" ht="22" customHeight="1">
      <c r="B90" s="6" t="n">
        <v>4</v>
      </c>
      <c r="D90" s="6" t="inlineStr">
        <is>
          <t>HSE plan</t>
        </is>
      </c>
      <c r="E90" s="6" t="inlineStr">
        <is>
          <t>Require: Complete HSE plan including risk assessment, fall protection (100% tie-off above 2m), emergency rescue plan, first aid, communication protocol. Ask for HSE plan document before mobilization.</t>
        </is>
      </c>
      <c r="F90" s="6" t="inlineStr">
        <is>
          <t>IS 7205 / Factories Act 1948</t>
        </is>
      </c>
      <c r="G90" s="6" t="inlineStr">
        <is>
          <t>Critical</t>
        </is>
      </c>
      <c r="H90" s="6" t="inlineStr"/>
      <c r="I90" s="6" t="inlineStr"/>
      <c r="J90" s="6" t="inlineStr"/>
    </row>
    <row r="91" ht="22" customHeight="1">
      <c r="B91" s="5" t="n">
        <v>5</v>
      </c>
      <c r="D91" s="5" t="inlineStr">
        <is>
          <t>Fall protection system</t>
        </is>
      </c>
      <c r="E91" s="5" t="inlineStr">
        <is>
          <t>Ask: Is a permanent fall protection system (climbing ladder with safety cable / rail) included? Specify: continuous fall protection per IS 7205 from 2m to top. Ask for system manufacturer and certification.</t>
        </is>
      </c>
      <c r="F91" s="5" t="inlineStr">
        <is>
          <t>IS 7205 / OSHA 1926 Subpart M</t>
        </is>
      </c>
      <c r="G91" s="5" t="inlineStr">
        <is>
          <t>Critical</t>
        </is>
      </c>
      <c r="H91" s="5" t="inlineStr"/>
      <c r="I91" s="5" t="inlineStr"/>
      <c r="J91" s="5" t="inlineStr"/>
    </row>
    <row r="92" ht="22" customHeight="1">
      <c r="B92" s="6" t="n">
        <v>6</v>
      </c>
      <c r="D92" s="6" t="inlineStr">
        <is>
          <t>Climbing ladder</t>
        </is>
      </c>
      <c r="E92" s="6" t="inlineStr">
        <is>
          <t>Ask: Is a climbing ladder included? Specify: internal or external climbing ladder with rest platforms every 10m per IS 7205. Ladder rungs: 300mm spacing, 300mm clearance behind rung.</t>
        </is>
      </c>
      <c r="F92" s="6" t="inlineStr">
        <is>
          <t>IS 7205</t>
        </is>
      </c>
      <c r="G92" s="6" t="inlineStr">
        <is>
          <t>High</t>
        </is>
      </c>
      <c r="H92" s="6" t="inlineStr"/>
      <c r="I92" s="6" t="inlineStr"/>
      <c r="J92" s="6" t="inlineStr"/>
    </row>
    <row r="93" ht="22" customHeight="1">
      <c r="B93" s="5" t="n">
        <v>7</v>
      </c>
      <c r="D93" s="5" t="inlineStr">
        <is>
          <t>Rest platforms</t>
        </is>
      </c>
      <c r="E93" s="5" t="inlineStr">
        <is>
          <t>Ask: Are rest platforms provided? Specify: minimum 1 rest platform every 10m per IS 7205. Each platform: 600mm × 600mm minimum with safety rail.</t>
        </is>
      </c>
      <c r="F93" s="5" t="inlineStr">
        <is>
          <t>IS 7205</t>
        </is>
      </c>
      <c r="G93" s="5" t="inlineStr">
        <is>
          <t>High</t>
        </is>
      </c>
      <c r="H93" s="5" t="inlineStr"/>
      <c r="I93" s="5" t="inlineStr"/>
      <c r="J93" s="5" t="inlineStr"/>
    </row>
    <row r="94" ht="22" customHeight="1">
      <c r="B94" s="6" t="n">
        <v>8</v>
      </c>
      <c r="D94" s="6" t="inlineStr">
        <is>
          <t>Guy wire tensioning after erection</t>
        </is>
      </c>
      <c r="E94" s="6" t="inlineStr">
        <is>
          <t>Require: Guy wire pre-tension to be checked and adjusted after full erection. Record tensions using calibrated load cell. Re-check after 1 month and 6 months. Ask for tensioning procedure.</t>
        </is>
      </c>
      <c r="F94" s="6" t="inlineStr">
        <is>
          <t>Industry Practice</t>
        </is>
      </c>
      <c r="G94" s="6" t="inlineStr">
        <is>
          <t>Critical</t>
        </is>
      </c>
      <c r="H94" s="6" t="inlineStr"/>
      <c r="I94" s="6" t="inlineStr"/>
      <c r="J94" s="6" t="inlineStr"/>
    </row>
    <row r="95" ht="22" customHeight="1">
      <c r="B95" s="5" t="n">
        <v>9</v>
      </c>
      <c r="D95" s="5" t="inlineStr">
        <is>
          <t>Plumb check</t>
        </is>
      </c>
      <c r="E95" s="5" t="inlineStr">
        <is>
          <t>Require: Mast verticality to be checked after erection. Tolerance: ±1:500 of height (240mm for 120m). Ask for plumb survey report using total station or theodolite.</t>
        </is>
      </c>
      <c r="F95" s="5" t="inlineStr">
        <is>
          <t>Industry Practice</t>
        </is>
      </c>
      <c r="G95" s="5" t="inlineStr">
        <is>
          <t>High</t>
        </is>
      </c>
      <c r="H95" s="5" t="inlineStr"/>
      <c r="I95" s="5" t="inlineStr"/>
      <c r="J95" s="5" t="inlineStr"/>
    </row>
    <row r="96" ht="22" customHeight="1">
      <c r="B96" s="6" t="n">
        <v>10</v>
      </c>
      <c r="D96" s="6" t="inlineStr">
        <is>
          <t>Erection completion certificate</t>
        </is>
      </c>
      <c r="E96" s="6" t="inlineStr">
        <is>
          <t>Require: Signed erection completion certificate confirming all members installed, all bolts torqued, guy tensions set, plumb verified, lightning protection connected, aviation lights operational.</t>
        </is>
      </c>
      <c r="F96" s="6" t="inlineStr">
        <is>
          <t>Industry Practice</t>
        </is>
      </c>
      <c r="G96" s="6" t="inlineStr">
        <is>
          <t>Critical</t>
        </is>
      </c>
      <c r="H96" s="6" t="inlineStr"/>
      <c r="I96" s="6" t="inlineStr"/>
      <c r="J96" s="6" t="inlineStr"/>
    </row>
    <row r="97" ht="22" customHeight="1">
      <c r="B97" s="7" t="n">
        <v>1</v>
      </c>
      <c r="C97" s="8" t="inlineStr">
        <is>
          <t>12. Lightning Protection</t>
        </is>
      </c>
      <c r="D97" s="7" t="inlineStr">
        <is>
          <t>LPS design standard</t>
        </is>
      </c>
      <c r="E97" s="7" t="inlineStr">
        <is>
          <t>Specify: Lightning Protection System per IEC 62305 Level III (for Tamil Nadu with 20-30 thunderstorm days/year). Ask for LPS design calculations including rolling sphere method for air terminal placement.</t>
        </is>
      </c>
      <c r="F97" s="7" t="inlineStr">
        <is>
          <t>IEC 62305-1 / IS 2309</t>
        </is>
      </c>
      <c r="G97" s="7" t="inlineStr">
        <is>
          <t>Critical</t>
        </is>
      </c>
      <c r="H97" s="7" t="inlineStr"/>
      <c r="I97" s="7" t="inlineStr"/>
      <c r="J97" s="7" t="inlineStr"/>
    </row>
    <row r="98" ht="22" customHeight="1">
      <c r="B98" s="6" t="n">
        <v>2</v>
      </c>
      <c r="D98" s="6" t="inlineStr">
        <is>
          <t>Air terminal type</t>
        </is>
      </c>
      <c r="E98" s="6" t="inlineStr">
        <is>
          <t>Ask: What air terminal is provided? Specify: Franklin rod or ESE (Early Streamer Emission) type at mast top. Minimum 1m above top anemometer. Ask for type test certificate.</t>
        </is>
      </c>
      <c r="F98" s="6" t="inlineStr">
        <is>
          <t>IEC 62305 / IS 2309</t>
        </is>
      </c>
      <c r="G98" s="6" t="inlineStr">
        <is>
          <t>Critical</t>
        </is>
      </c>
      <c r="H98" s="6" t="inlineStr"/>
      <c r="I98" s="6" t="inlineStr"/>
      <c r="J98" s="6" t="inlineStr"/>
    </row>
    <row r="99" ht="22" customHeight="1">
      <c r="B99" s="5" t="n">
        <v>3</v>
      </c>
      <c r="D99" s="5" t="inlineStr">
        <is>
          <t>Down conductors</t>
        </is>
      </c>
      <c r="E99" s="5" t="inlineStr">
        <is>
          <t>Specify: Minimum 2 down conductors from top to grounding system per IEC 62305. Conductors bonded to mast structure at top, middle, and bottom. Copper conductor minimum 50mm² cross-section per IS 2309.</t>
        </is>
      </c>
      <c r="F99" s="5" t="inlineStr">
        <is>
          <t>IEC 62305-3 / IS 2309</t>
        </is>
      </c>
      <c r="G99" s="5" t="inlineStr">
        <is>
          <t>Critical</t>
        </is>
      </c>
      <c r="H99" s="5" t="inlineStr"/>
      <c r="I99" s="5" t="inlineStr"/>
      <c r="J99" s="5" t="inlineStr"/>
    </row>
    <row r="100" ht="22" customHeight="1">
      <c r="B100" s="6" t="n">
        <v>4</v>
      </c>
      <c r="D100" s="6" t="inlineStr">
        <is>
          <t>Grounding system</t>
        </is>
      </c>
      <c r="E100" s="6" t="inlineStr">
        <is>
          <t>Specify: Ring earth electrode (minimum 50mm² copper) with ground rods (minimum 3m deep, copper-bonded steel) at each corner. Ground resistance must be less than 10 ohms per IEC 62305. Ask for grounding design.</t>
        </is>
      </c>
      <c r="F100" s="6" t="inlineStr">
        <is>
          <t>IEC 62305-3 / IS 2309</t>
        </is>
      </c>
      <c r="G100" s="6" t="inlineStr">
        <is>
          <t>Critical</t>
        </is>
      </c>
      <c r="H100" s="6" t="inlineStr"/>
      <c r="I100" s="6" t="inlineStr"/>
      <c r="J100" s="6" t="inlineStr"/>
    </row>
    <row r="101" ht="22" customHeight="1">
      <c r="B101" s="5" t="n">
        <v>5</v>
      </c>
      <c r="D101" s="5" t="inlineStr">
        <is>
          <t>Grounding resistance test</t>
        </is>
      </c>
      <c r="E101" s="5" t="inlineStr">
        <is>
          <t>Require: Fall-of-potential method ground resistance test per IS 9226 after installation. Must achieve less than 10 ohms. If higher, additional ground rods required. Ask for test report format.</t>
        </is>
      </c>
      <c r="F101" s="5" t="inlineStr">
        <is>
          <t>IS 9226 / IEC 62305-3</t>
        </is>
      </c>
      <c r="G101" s="5" t="inlineStr">
        <is>
          <t>Critical</t>
        </is>
      </c>
      <c r="H101" s="5" t="inlineStr"/>
      <c r="I101" s="5" t="inlineStr"/>
      <c r="J101" s="5" t="inlineStr"/>
    </row>
    <row r="102" ht="22" customHeight="1">
      <c r="B102" s="6" t="n">
        <v>6</v>
      </c>
      <c r="D102" s="6" t="inlineStr">
        <is>
          <t>Surge protection on sensor cables</t>
        </is>
      </c>
      <c r="E102" s="6" t="inlineStr">
        <is>
          <t>Specify: SPDs (Surge Protective Devices) on ALL sensor signal cables at the data logger enclosure. Type 2 SPDs per IEC 61643. Ask for SPD specifications and installation details.</t>
        </is>
      </c>
      <c r="F102" s="6" t="inlineStr">
        <is>
          <t>IEC 62305-4 / IEC 61643</t>
        </is>
      </c>
      <c r="G102" s="6" t="inlineStr">
        <is>
          <t>High</t>
        </is>
      </c>
      <c r="H102" s="6" t="inlineStr"/>
      <c r="I102" s="6" t="inlineStr"/>
      <c r="J102" s="6" t="inlineStr"/>
    </row>
    <row r="103" ht="22" customHeight="1">
      <c r="B103" s="5" t="n">
        <v>7</v>
      </c>
      <c r="D103" s="5" t="inlineStr">
        <is>
          <t>Equipotential bonding</t>
        </is>
      </c>
      <c r="E103" s="5" t="inlineStr">
        <is>
          <t>Ask: Is equipotential bonding provided? All metallic parts (mast, guy wires, logger enclosure, solar panel frame) must be bonded to grounding system per IEC 62305-4. Ask for bonding detail drawing.</t>
        </is>
      </c>
      <c r="F103" s="5" t="inlineStr">
        <is>
          <t>IEC 62305-4 / IS 2309</t>
        </is>
      </c>
      <c r="G103" s="5" t="inlineStr">
        <is>
          <t>High</t>
        </is>
      </c>
      <c r="H103" s="5" t="inlineStr"/>
      <c r="I103" s="5" t="inlineStr"/>
      <c r="J103" s="5" t="inlineStr"/>
    </row>
    <row r="104" ht="22" customHeight="1">
      <c r="B104" s="7" t="n">
        <v>1</v>
      </c>
      <c r="C104" s="8" t="inlineStr">
        <is>
          <t>13. Packing, Transport &amp; Handling</t>
        </is>
      </c>
      <c r="D104" s="7" t="inlineStr">
        <is>
          <t>Packing method</t>
        </is>
      </c>
      <c r="E104" s="7" t="inlineStr">
        <is>
          <t>Ask: How are galvanized members packed for transport? Specify: members wrapped in VCI (Volatile Corrosion Inhibitor) paper, bundled with nylon straps (not wire, which damages galvanizing). Small parts in wooden crates.</t>
        </is>
      </c>
      <c r="F104" s="7" t="inlineStr">
        <is>
          <t>Industry Practice</t>
        </is>
      </c>
      <c r="G104" s="7" t="inlineStr">
        <is>
          <t>High</t>
        </is>
      </c>
      <c r="H104" s="7" t="inlineStr"/>
      <c r="I104" s="7" t="inlineStr"/>
      <c r="J104" s="7" t="inlineStr"/>
    </row>
    <row r="105" ht="22" customHeight="1">
      <c r="B105" s="5" t="n">
        <v>2</v>
      </c>
      <c r="D105" s="5" t="inlineStr">
        <is>
          <t>Transport damage prevention</t>
        </is>
      </c>
      <c r="E105" s="5" t="inlineStr">
        <is>
          <t>Ask: What measures prevent transport damage? Specify: timber dunnage between layers, no metal-to-metal contact, no dragging. Ask for packing and handling procedure document.</t>
        </is>
      </c>
      <c r="F105" s="5" t="inlineStr">
        <is>
          <t>Industry Practice</t>
        </is>
      </c>
      <c r="G105" s="5" t="inlineStr">
        <is>
          <t>High</t>
        </is>
      </c>
      <c r="H105" s="5" t="inlineStr"/>
      <c r="I105" s="5" t="inlineStr"/>
      <c r="J105" s="5" t="inlineStr"/>
    </row>
    <row r="106" ht="22" customHeight="1">
      <c r="B106" s="6" t="n">
        <v>3</v>
      </c>
      <c r="D106" s="6" t="inlineStr">
        <is>
          <t>Storage at site</t>
        </is>
      </c>
      <c r="E106" s="6" t="inlineStr">
        <is>
          <t>Ask: What are site storage requirements? Specify: members stored on timber skids minimum 150mm above ground, under tarpaulin cover, with VCI paper. No direct ground contact. Ask for storage procedure.</t>
        </is>
      </c>
      <c r="F106" s="6" t="inlineStr">
        <is>
          <t>IS 2629 / Industry Practice</t>
        </is>
      </c>
      <c r="G106" s="6" t="inlineStr">
        <is>
          <t>High</t>
        </is>
      </c>
      <c r="H106" s="6" t="inlineStr"/>
      <c r="I106" s="6" t="inlineStr"/>
      <c r="J106" s="6" t="inlineStr"/>
    </row>
    <row r="107" ht="22" customHeight="1">
      <c r="B107" s="5" t="n">
        <v>4</v>
      </c>
      <c r="D107" s="5" t="inlineStr">
        <is>
          <t>Transport to site</t>
        </is>
      </c>
      <c r="E107" s="5" t="inlineStr">
        <is>
          <t>Ask: Can vendor arrange transport to Tirunelveli site? If yes, ask for transport cost and delivery schedule. Typical: 2-3 truckloads for 120m guyed mast. Maximum member length: 6m (for road transport).</t>
        </is>
      </c>
      <c r="F107" s="5" t="inlineStr">
        <is>
          <t>Industry Practice</t>
        </is>
      </c>
      <c r="G107" s="5" t="inlineStr">
        <is>
          <t>Medium</t>
        </is>
      </c>
      <c r="H107" s="5" t="inlineStr"/>
      <c r="I107" s="5" t="inlineStr"/>
      <c r="J107" s="5" t="inlineStr"/>
    </row>
    <row r="108" ht="22" customHeight="1">
      <c r="B108" s="6" t="n">
        <v>5</v>
      </c>
      <c r="D108" s="6" t="inlineStr">
        <is>
          <t>Handling equipment</t>
        </is>
      </c>
      <c r="E108" s="6" t="inlineStr">
        <is>
          <t>Ask: What handling equipment is needed at site? Specify: crane or excavator for unloading (2-3 ton capacity), storage area 20m × 10m minimum. Ask for site preparation requirements.</t>
        </is>
      </c>
      <c r="F108" s="6" t="inlineStr">
        <is>
          <t>Industry Practice</t>
        </is>
      </c>
      <c r="G108" s="6" t="inlineStr">
        <is>
          <t>Medium</t>
        </is>
      </c>
      <c r="H108" s="6" t="inlineStr"/>
      <c r="I108" s="6" t="inlineStr"/>
      <c r="J108" s="6" t="inlineStr"/>
    </row>
    <row r="109" ht="22" customHeight="1">
      <c r="B109" s="7" t="n">
        <v>1</v>
      </c>
      <c r="C109" s="8" t="inlineStr">
        <is>
          <t>14. Quality Assurance &amp; Documentation</t>
        </is>
      </c>
      <c r="D109" s="7" t="inlineStr">
        <is>
          <t>QA plan</t>
        </is>
      </c>
      <c r="E109" s="7" t="inlineStr">
        <is>
          <t>Ask: Does vendor have a documented Quality Assurance Plan? Require: QAP covering incoming material inspection, in-process inspection, final inspection, and NDT. Ask for QAP document.</t>
        </is>
      </c>
      <c r="F109" s="7" t="inlineStr">
        <is>
          <t>ISO 9001 / Industry Practice</t>
        </is>
      </c>
      <c r="G109" s="7" t="inlineStr">
        <is>
          <t>Critical</t>
        </is>
      </c>
      <c r="H109" s="7" t="inlineStr"/>
      <c r="I109" s="7" t="inlineStr"/>
      <c r="J109" s="7" t="inlineStr"/>
    </row>
    <row r="110" ht="22" customHeight="1">
      <c r="B110" s="6" t="n">
        <v>2</v>
      </c>
      <c r="D110" s="6" t="inlineStr">
        <is>
          <t>Material traceability</t>
        </is>
      </c>
      <c r="E110" s="6" t="inlineStr">
        <is>
          <t>Ask: Is material traceability maintained? Require: Heat numbers on all steel members traceable to mill test certificates. Marking per IS 2062. Ask for traceability procedure.</t>
        </is>
      </c>
      <c r="F110" s="6" t="inlineStr">
        <is>
          <t>IS 2062 / ISO 9001</t>
        </is>
      </c>
      <c r="G110" s="6" t="inlineStr">
        <is>
          <t>Critical</t>
        </is>
      </c>
      <c r="H110" s="6" t="inlineStr"/>
      <c r="I110" s="6" t="inlineStr"/>
      <c r="J110" s="6" t="inlineStr"/>
    </row>
    <row r="111" ht="22" customHeight="1">
      <c r="B111" s="5" t="n">
        <v>3</v>
      </c>
      <c r="D111" s="5" t="inlineStr">
        <is>
          <t>Third-party inspection</t>
        </is>
      </c>
      <c r="E111" s="5" t="inlineStr">
        <is>
          <t>Require: Third-party inspection at fabrication stage by agency like SGS, TUV, Bureau Veritas, or Engineers India. Inspection stages: (1) raw material, (2) during fabrication, (3) after galvanizing, (4) packing. Ask for TPI scope.</t>
        </is>
      </c>
      <c r="F111" s="5" t="inlineStr">
        <is>
          <t>Industry Practice</t>
        </is>
      </c>
      <c r="G111" s="5" t="inlineStr">
        <is>
          <t>Critical</t>
        </is>
      </c>
      <c r="H111" s="5" t="inlineStr"/>
      <c r="I111" s="5" t="inlineStr"/>
      <c r="J111" s="5" t="inlineStr"/>
    </row>
    <row r="112" ht="22" customHeight="1">
      <c r="B112" s="6" t="n">
        <v>4</v>
      </c>
      <c r="D112" s="6" t="inlineStr">
        <is>
          <t>Fabrication tolerance</t>
        </is>
      </c>
      <c r="E112" s="6" t="inlineStr">
        <is>
          <t>Ask: What fabrication tolerances are maintained? Per IS 7215: member length ±2mm, hole position ±1mm, straightness L/1000. Ask for tolerance specification sheet.</t>
        </is>
      </c>
      <c r="F112" s="6" t="inlineStr">
        <is>
          <t>IS 7215 / IS 800</t>
        </is>
      </c>
      <c r="G112" s="6" t="inlineStr">
        <is>
          <t>High</t>
        </is>
      </c>
      <c r="H112" s="6" t="inlineStr"/>
      <c r="I112" s="6" t="inlineStr"/>
      <c r="J112" s="6" t="inlineStr"/>
    </row>
    <row r="113" ht="22" customHeight="1">
      <c r="B113" s="5" t="n">
        <v>5</v>
      </c>
      <c r="D113" s="5" t="inlineStr">
        <is>
          <t>Mill test certificates</t>
        </is>
      </c>
      <c r="E113" s="5" t="inlineStr">
        <is>
          <t>Require: Mill test certificates per IS 2062 for ALL steel used — including chemical composition and mechanical properties (yield strength, UTS, elongation). Must be from steel manufacturer, not trader.</t>
        </is>
      </c>
      <c r="F113" s="5" t="inlineStr">
        <is>
          <t>IS 2062</t>
        </is>
      </c>
      <c r="G113" s="5" t="inlineStr">
        <is>
          <t>Critical</t>
        </is>
      </c>
      <c r="H113" s="5" t="inlineStr"/>
      <c r="I113" s="5" t="inlineStr"/>
      <c r="J113" s="5" t="inlineStr"/>
    </row>
    <row r="114" ht="22" customHeight="1">
      <c r="B114" s="6" t="n">
        <v>6</v>
      </c>
      <c r="D114" s="6" t="inlineStr">
        <is>
          <t>Document submission list</t>
        </is>
      </c>
      <c r="E114" s="6" t="inlineStr">
        <is>
          <t>Require complete document package: (1) Structural design calculations, (2) Fabrication drawings, (3) Mill test certificates, (4) Galvanizing test certificates, (5) Welding WPS &amp; welder qualifications, (6) NDT reports, (7) Bolt test certificates, (8) Guy wire test certificates, (9) Foundation design report, (10) Erection manual, (11) O&amp;M manual, (12) Warranty certificates.</t>
        </is>
      </c>
      <c r="F114" s="6" t="inlineStr">
        <is>
          <t>Industry Practice</t>
        </is>
      </c>
      <c r="G114" s="6" t="inlineStr">
        <is>
          <t>Critical</t>
        </is>
      </c>
      <c r="H114" s="6" t="inlineStr"/>
      <c r="I114" s="6" t="inlineStr"/>
      <c r="J114" s="6" t="inlineStr"/>
    </row>
    <row r="115" ht="22" customHeight="1">
      <c r="B115" s="7" t="n">
        <v>1</v>
      </c>
      <c r="C115" s="8" t="inlineStr">
        <is>
          <t>15. Warranty &amp; After-Sales Support</t>
        </is>
      </c>
      <c r="D115" s="7" t="inlineStr">
        <is>
          <t>Structural warranty period</t>
        </is>
      </c>
      <c r="E115" s="7" t="inlineStr">
        <is>
          <t>Specify: Minimum 15-year warranty against structural defects, corrosion failure, and manufacturing defects. Warranty must cover both material and workmanship. Ask for warranty terms and conditions.</t>
        </is>
      </c>
      <c r="F115" s="7" t="inlineStr">
        <is>
          <t>Industry Practice</t>
        </is>
      </c>
      <c r="G115" s="7" t="inlineStr">
        <is>
          <t>High</t>
        </is>
      </c>
      <c r="H115" s="7" t="inlineStr"/>
      <c r="I115" s="7" t="inlineStr"/>
      <c r="J115" s="7" t="inlineStr"/>
    </row>
    <row r="116" ht="22" customHeight="1">
      <c r="B116" s="6" t="n">
        <v>2</v>
      </c>
      <c r="D116" s="6" t="inlineStr">
        <is>
          <t>Warranty exclusions</t>
        </is>
      </c>
      <c r="E116" s="6" t="inlineStr">
        <is>
          <t>Ask: What is excluded from warranty? Typical exclusions: damage from unauthorized modification, extreme weather beyond design, third-party damage. Ensure galvanizing failure and weld defects are NOT excluded.</t>
        </is>
      </c>
      <c r="F116" s="6" t="inlineStr">
        <is>
          <t>Industry Practice</t>
        </is>
      </c>
      <c r="G116" s="6" t="inlineStr">
        <is>
          <t>High</t>
        </is>
      </c>
      <c r="H116" s="6" t="inlineStr"/>
      <c r="I116" s="6" t="inlineStr"/>
      <c r="J116" s="6" t="inlineStr"/>
    </row>
    <row r="117" ht="22" customHeight="1">
      <c r="B117" s="5" t="n">
        <v>3</v>
      </c>
      <c r="D117" s="5" t="inlineStr">
        <is>
          <t>Annual inspection service</t>
        </is>
      </c>
      <c r="E117" s="5" t="inlineStr">
        <is>
          <t>Ask: Does vendor offer annual inspection service? Recommend: annual inspection including guy wire tension check, bolt torque verification, corrosion assessment, plumb check. Ask for AMC terms.</t>
        </is>
      </c>
      <c r="F117" s="5" t="inlineStr">
        <is>
          <t>Industry Practice</t>
        </is>
      </c>
      <c r="G117" s="5" t="inlineStr">
        <is>
          <t>Medium</t>
        </is>
      </c>
      <c r="H117" s="5" t="inlineStr"/>
      <c r="I117" s="5" t="inlineStr"/>
      <c r="J117" s="5" t="inlineStr"/>
    </row>
    <row r="118" ht="22" customHeight="1">
      <c r="B118" s="6" t="n">
        <v>4</v>
      </c>
      <c r="D118" s="6" t="inlineStr">
        <is>
          <t>Spare parts supply</t>
        </is>
      </c>
      <c r="E118" s="6" t="inlineStr">
        <is>
          <t>Ask: What spare parts are supplied? Specify: 2% spare galvanized members (angles, gussets), 5% spare bolts/nuts/washers per size, spare guy wire sections. Ask for spares list.</t>
        </is>
      </c>
      <c r="F118" s="6" t="inlineStr">
        <is>
          <t>Industry Practice</t>
        </is>
      </c>
      <c r="G118" s="6" t="inlineStr">
        <is>
          <t>High</t>
        </is>
      </c>
      <c r="H118" s="6" t="inlineStr"/>
      <c r="I118" s="6" t="inlineStr"/>
      <c r="J118" s="6" t="inlineStr"/>
    </row>
    <row r="119" ht="22" customHeight="1">
      <c r="B119" s="5" t="n">
        <v>5</v>
      </c>
      <c r="D119" s="5" t="inlineStr">
        <is>
          <t>Emergency support</t>
        </is>
      </c>
      <c r="E119" s="5" t="inlineStr">
        <is>
          <t>Ask: What is the emergency response capability? If mast is damaged by cyclone, what is the vendor's response time? Ask for emergency contact and mobilization timeline.</t>
        </is>
      </c>
      <c r="F119" s="5" t="inlineStr">
        <is>
          <t>Industry Practice</t>
        </is>
      </c>
      <c r="G119" s="5" t="inlineStr">
        <is>
          <t>Medium</t>
        </is>
      </c>
      <c r="H119" s="5" t="inlineStr"/>
      <c r="I119" s="5" t="inlineStr"/>
      <c r="J119" s="5" t="inlineStr"/>
    </row>
    <row r="120" ht="22" customHeight="1">
      <c r="B120" s="7" t="n">
        <v>1</v>
      </c>
      <c r="C120" s="8" t="inlineStr">
        <is>
          <t>16. Cost &amp; Commercial Terms</t>
        </is>
      </c>
      <c r="D120" s="7" t="inlineStr">
        <is>
          <t>Quotation basis</t>
        </is>
      </c>
      <c r="E120" s="7" t="inlineStr">
        <is>
          <t>Ask: Is the quote on FOR site basis or ex-works? Require: FOR site (Tirunelveli) including transport, unloading, erection, and commissioning. No hidden costs for transport or logistics.</t>
        </is>
      </c>
      <c r="F120" s="7" t="inlineStr">
        <is>
          <t>Industry Practice</t>
        </is>
      </c>
      <c r="G120" s="7" t="inlineStr">
        <is>
          <t>Critical</t>
        </is>
      </c>
      <c r="H120" s="7" t="inlineStr"/>
      <c r="I120" s="7" t="inlineStr"/>
      <c r="J120" s="7" t="inlineStr"/>
    </row>
    <row r="121" ht="22" customHeight="1">
      <c r="B121" s="5" t="n">
        <v>2</v>
      </c>
      <c r="D121" s="5" t="inlineStr">
        <is>
          <t>Scope inclusions</t>
        </is>
      </c>
      <c r="E121" s="5" t="inlineStr">
        <is>
          <t>Ask: Confirm scope includes: mast structure, all galvanizing, painting, aviation lights, climbing ladder, fall protection, lightning protection, boom mounting brackets at specified heights, guy wires, anchors, foundation design, erection, commissioning.</t>
        </is>
      </c>
      <c r="F121" s="5" t="inlineStr">
        <is>
          <t>Industry Practice</t>
        </is>
      </c>
      <c r="G121" s="5" t="inlineStr">
        <is>
          <t>Critical</t>
        </is>
      </c>
      <c r="H121" s="5" t="inlineStr"/>
      <c r="I121" s="5" t="inlineStr"/>
      <c r="J121" s="5" t="inlineStr"/>
    </row>
    <row r="122" ht="22" customHeight="1">
      <c r="B122" s="6" t="n">
        <v>3</v>
      </c>
      <c r="D122" s="6" t="inlineStr">
        <is>
          <t>Scope exclusions</t>
        </is>
      </c>
      <c r="E122" s="6" t="inlineStr">
        <is>
          <t>Ask: What is explicitly excluded? Typically: foundation construction (civil work), instrumentation, data logger, site preparation, approach road. Ensure clarity on what is in vs out of scope.</t>
        </is>
      </c>
      <c r="F122" s="6" t="inlineStr">
        <is>
          <t>Industry Practice</t>
        </is>
      </c>
      <c r="G122" s="6" t="inlineStr">
        <is>
          <t>Critical</t>
        </is>
      </c>
      <c r="H122" s="6" t="inlineStr"/>
      <c r="I122" s="6" t="inlineStr"/>
      <c r="J122" s="6" t="inlineStr"/>
    </row>
    <row r="123" ht="22" customHeight="1">
      <c r="B123" s="5" t="n">
        <v>4</v>
      </c>
      <c r="D123" s="5" t="inlineStr">
        <is>
          <t>Payment terms</t>
        </is>
      </c>
      <c r="E123" s="5" t="inlineStr">
        <is>
          <t>Ask: What are the payment terms? Industry standard: 20% advance, 50% on dispatch, 25% on erection completion, 5% retention (released after 12 months). Negotiate retention release terms.</t>
        </is>
      </c>
      <c r="F123" s="5" t="inlineStr">
        <is>
          <t>Industry Practice</t>
        </is>
      </c>
      <c r="G123" s="5" t="inlineStr">
        <is>
          <t>High</t>
        </is>
      </c>
      <c r="H123" s="5" t="inlineStr"/>
      <c r="I123" s="5" t="inlineStr"/>
      <c r="J123" s="5" t="inlineStr"/>
    </row>
    <row r="124" ht="22" customHeight="1">
      <c r="B124" s="6" t="n">
        <v>5</v>
      </c>
      <c r="D124" s="6" t="inlineStr">
        <is>
          <t>Delivery schedule</t>
        </is>
      </c>
      <c r="E124" s="6" t="inlineStr">
        <is>
          <t>Ask: What is the guaranteed delivery schedule? Require: delivery within 10 weeks from PO. Include liquidated damages clause for delay (typically 0.5% per week, max 5%).</t>
        </is>
      </c>
      <c r="F124" s="6" t="inlineStr">
        <is>
          <t>Industry Practice</t>
        </is>
      </c>
      <c r="G124" s="6" t="inlineStr">
        <is>
          <t>High</t>
        </is>
      </c>
      <c r="H124" s="6" t="inlineStr"/>
      <c r="I124" s="6" t="inlineStr"/>
      <c r="J124" s="6" t="inlineStr"/>
    </row>
    <row r="125" ht="22" customHeight="1">
      <c r="B125" s="5" t="n">
        <v>6</v>
      </c>
      <c r="D125" s="5" t="inlineStr">
        <is>
          <t>Performance guarantee</t>
        </is>
      </c>
      <c r="E125" s="5" t="inlineStr">
        <is>
          <t>Ask: Is there a performance guarantee? Specify: mast must survive design wind speed without permanent deformation for 20 years. Ask for performance guarantee terms and conditions.</t>
        </is>
      </c>
      <c r="F125" s="5" t="inlineStr">
        <is>
          <t>Industry Practice</t>
        </is>
      </c>
      <c r="G125" s="5" t="inlineStr">
        <is>
          <t>High</t>
        </is>
      </c>
      <c r="H125" s="5" t="inlineStr"/>
      <c r="I125" s="5" t="inlineStr"/>
      <c r="J125" s="5" t="inlineStr"/>
    </row>
  </sheetData>
  <mergeCells count="17">
    <mergeCell ref="C80:C86"/>
    <mergeCell ref="C109:C114"/>
    <mergeCell ref="C97:C103"/>
    <mergeCell ref="C57:C65"/>
    <mergeCell ref="C104:C108"/>
    <mergeCell ref="C49:C56"/>
    <mergeCell ref="C74:C79"/>
    <mergeCell ref="C87:C96"/>
    <mergeCell ref="C11:C18"/>
    <mergeCell ref="C115:C119"/>
    <mergeCell ref="C19:C26"/>
    <mergeCell ref="C120:C125"/>
    <mergeCell ref="C5:C10"/>
    <mergeCell ref="C35:C48"/>
    <mergeCell ref="C66:C73"/>
    <mergeCell ref="B2:J2"/>
    <mergeCell ref="C27:C34"/>
  </mergeCells>
  <conditionalFormatting sqref="G5:G125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</conditionalFormatting>
  <conditionalFormatting sqref="I5:I125">
    <cfRule type="cellIs" priority="4" operator="equal" dxfId="2">
      <formula>"Yes"</formula>
    </cfRule>
    <cfRule type="cellIs" priority="5" operator="equal" dxfId="0">
      <formula>"No"</formula>
    </cfRule>
    <cfRule type="cellIs" priority="6" operator="equal" dxfId="1">
      <formula>"Partial"</formula>
    </cfRule>
  </conditionalFormatting>
  <dataValidations count="1">
    <dataValidation sqref="I5:I125" showDropDown="0" showInputMessage="0" showErrorMessage="0" allowBlank="1" prompt="Select compliance status" type="list">
      <formula1>"Yes,No,Partial,N/A"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5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6" customWidth="1" min="3" max="3"/>
    <col width="28" customWidth="1" min="4" max="4"/>
    <col width="62" customWidth="1" min="5" max="5"/>
    <col width="28" customWidth="1" min="6" max="6"/>
    <col width="12" customWidth="1" min="7" max="7"/>
    <col width="22" customWidth="1" min="8" max="8"/>
    <col width="14" customWidth="1" min="9" max="9"/>
    <col width="22" customWidth="1" min="10" max="10"/>
  </cols>
  <sheetData>
    <row r="1" ht="15" customHeight="1"/>
    <row r="2" ht="32" customHeight="1">
      <c r="B2" s="1" t="inlineStr">
        <is>
          <t>Instrumentation — Procurement Checklist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Category</t>
        </is>
      </c>
      <c r="D4" s="2" t="inlineStr">
        <is>
          <t>Item</t>
        </is>
      </c>
      <c r="E4" s="2" t="inlineStr">
        <is>
          <t>What to Ask / Specify</t>
        </is>
      </c>
      <c r="F4" s="2" t="inlineStr">
        <is>
          <t>Standard / Reference</t>
        </is>
      </c>
      <c r="G4" s="2" t="inlineStr">
        <is>
          <t>Priority</t>
        </is>
      </c>
      <c r="H4" s="2" t="inlineStr">
        <is>
          <t>Vendor Response</t>
        </is>
      </c>
      <c r="I4" s="2" t="inlineStr">
        <is>
          <t>Compliant?</t>
        </is>
      </c>
      <c r="J4" s="2" t="inlineStr">
        <is>
          <t>Remarks</t>
        </is>
      </c>
    </row>
    <row r="5" ht="22" customHeight="1">
      <c r="B5" s="7" t="n">
        <v>1</v>
      </c>
      <c r="C5" s="8" t="inlineStr">
        <is>
          <t>1. Anemometers (Wind Speed)</t>
        </is>
      </c>
      <c r="D5" s="7" t="inlineStr">
        <is>
          <t>Sensor type &amp; class</t>
        </is>
      </c>
      <c r="E5" s="7" t="inlineStr">
        <is>
          <t>Specify: Class 1 cup anemometer per IEC 61400-12-1. Approved models: Thies First Class (4.3351.x0.xxx), Riso P2546A, or Vector A100LK. Class 2 is NOT acceptable for hub-height measurement.</t>
        </is>
      </c>
      <c r="F5" s="7" t="inlineStr">
        <is>
          <t>IEC 61400-12-1 Annex F</t>
        </is>
      </c>
      <c r="G5" s="7" t="inlineStr">
        <is>
          <t>Critical</t>
        </is>
      </c>
      <c r="H5" s="7" t="inlineStr"/>
      <c r="I5" s="7" t="inlineStr"/>
      <c r="J5" s="7" t="inlineStr"/>
    </row>
    <row r="6" ht="22" customHeight="1">
      <c r="B6" s="6" t="n">
        <v>2</v>
      </c>
      <c r="D6" s="6" t="inlineStr">
        <is>
          <t>Quantity and placement</t>
        </is>
      </c>
      <c r="E6" s="6" t="inlineStr">
        <is>
          <t>Specify: Minimum 6 anemometers — 2 per height level × 3 heights (120m, 60m, 30m). Layout: 1 top-mounted at 120m apex + 1 side-mounted at each height on dedicated booms.</t>
        </is>
      </c>
      <c r="F6" s="6" t="inlineStr">
        <is>
          <t>IEC 61400-12-1 §5.2</t>
        </is>
      </c>
      <c r="G6" s="6" t="inlineStr">
        <is>
          <t>Critical</t>
        </is>
      </c>
      <c r="H6" s="6" t="inlineStr"/>
      <c r="I6" s="6" t="inlineStr"/>
      <c r="J6" s="6" t="inlineStr"/>
    </row>
    <row r="7" ht="22" customHeight="1">
      <c r="B7" s="5" t="n">
        <v>3</v>
      </c>
      <c r="D7" s="5" t="inlineStr">
        <is>
          <t>Height levels</t>
        </is>
      </c>
      <c r="E7" s="5" t="inlineStr">
        <is>
          <t>Specify: Level 1 = 120m (hub height), Level 2 = 58m (mid-height), Level 3 = 30m (low level). Heights must be exact — even 0.5m deviation affects vertical extrapolation.</t>
        </is>
      </c>
      <c r="F7" s="5" t="inlineStr">
        <is>
          <t>IEC 61400-12-1 / IEA Recommendations</t>
        </is>
      </c>
      <c r="G7" s="5" t="inlineStr">
        <is>
          <t>Critical</t>
        </is>
      </c>
      <c r="H7" s="5" t="inlineStr"/>
      <c r="I7" s="5" t="inlineStr"/>
      <c r="J7" s="5" t="inlineStr"/>
    </row>
    <row r="8" ht="22" customHeight="1">
      <c r="B8" s="6" t="n">
        <v>4</v>
      </c>
      <c r="D8" s="6" t="inlineStr">
        <is>
          <t>MEASNET calibration</t>
        </is>
      </c>
      <c r="E8" s="6" t="inlineStr">
        <is>
          <t>Require: Each anemometer MUST have individual MEASNET-traceable wind tunnel calibration certificate. Calibration must be from an accredited lab (e.g., Deutsche WindGuard, SOH, WindSpace). Non-MEASNET calibration is NOT acceptable for bankable measurements.</t>
        </is>
      </c>
      <c r="F8" s="6" t="inlineStr">
        <is>
          <t>MEASNET / IEC 61400-12-1 §5.3.2</t>
        </is>
      </c>
      <c r="G8" s="6" t="inlineStr">
        <is>
          <t>Critical</t>
        </is>
      </c>
      <c r="H8" s="6" t="inlineStr"/>
      <c r="I8" s="6" t="inlineStr"/>
      <c r="J8" s="6" t="inlineStr"/>
    </row>
    <row r="9" ht="22" customHeight="1">
      <c r="B9" s="5" t="n">
        <v>5</v>
      </c>
      <c r="D9" s="5" t="inlineStr">
        <is>
          <t>Calibration uncertainty</t>
        </is>
      </c>
      <c r="E9" s="5" t="inlineStr">
        <is>
          <t>Ask: What is the stated calibration uncertainty? Must be &lt; 1% of reading (typically 0.5-0.8% for Class 1). Ask for uncertainty budget from calibration lab.</t>
        </is>
      </c>
      <c r="F9" s="5" t="inlineStr">
        <is>
          <t>MEASNET / IEC 61400-12-1</t>
        </is>
      </c>
      <c r="G9" s="5" t="inlineStr">
        <is>
          <t>Critical</t>
        </is>
      </c>
      <c r="H9" s="5" t="inlineStr"/>
      <c r="I9" s="5" t="inlineStr"/>
      <c r="J9" s="5" t="inlineStr"/>
    </row>
    <row r="10" ht="22" customHeight="1">
      <c r="B10" s="6" t="n">
        <v>6</v>
      </c>
      <c r="D10" s="6" t="inlineStr">
        <is>
          <t>Calibration date</t>
        </is>
      </c>
      <c r="E10" s="6" t="inlineStr">
        <is>
          <t>Require: Calibration certificate must be less than 24 months old at time of installation. Anemometers older than this must be recalibrated before deployment. Ask for certificate dates.</t>
        </is>
      </c>
      <c r="F10" s="6" t="inlineStr">
        <is>
          <t>IEC 61400-12-1</t>
        </is>
      </c>
      <c r="G10" s="6" t="inlineStr">
        <is>
          <t>High</t>
        </is>
      </c>
      <c r="H10" s="6" t="inlineStr"/>
      <c r="I10" s="6" t="inlineStr"/>
      <c r="J10" s="6" t="inlineStr"/>
    </row>
    <row r="11" ht="22" customHeight="1">
      <c r="B11" s="5" t="n">
        <v>7</v>
      </c>
      <c r="D11" s="5" t="inlineStr">
        <is>
          <t>Top-mounted anemometer</t>
        </is>
      </c>
      <c r="E11" s="5" t="inlineStr">
        <is>
          <t>Specify: 1 anemometer must be top-mounted on a dedicated pole at the mast apex (above all guy wires and aviation light). This avoids tower shadow completely. Ask for top pole design.</t>
        </is>
      </c>
      <c r="F11" s="5" t="inlineStr">
        <is>
          <t>IEC 61400-12-1 §5.3.4</t>
        </is>
      </c>
      <c r="G11" s="5" t="inlineStr">
        <is>
          <t>Critical</t>
        </is>
      </c>
      <c r="H11" s="5" t="inlineStr"/>
      <c r="I11" s="5" t="inlineStr"/>
      <c r="J11" s="5" t="inlineStr"/>
    </row>
    <row r="12" ht="22" customHeight="1">
      <c r="B12" s="6" t="n">
        <v>8</v>
      </c>
      <c r="D12" s="6" t="inlineStr">
        <is>
          <t>Boom mounting specification</t>
        </is>
      </c>
      <c r="E12" s="6" t="inlineStr">
        <is>
          <t>Specify: Side-mounted anemometers on booms projecting minimum 6× the mast face width from mast center. For 1.2m face: minimum boom length = 7.2m (use 8m boom). Ask for boom design drawing.</t>
        </is>
      </c>
      <c r="F12" s="6" t="inlineStr">
        <is>
          <t>IEC 61400-12-1 §5.3.5</t>
        </is>
      </c>
      <c r="G12" s="6" t="inlineStr">
        <is>
          <t>Critical</t>
        </is>
      </c>
      <c r="H12" s="6" t="inlineStr"/>
      <c r="I12" s="6" t="inlineStr"/>
      <c r="J12" s="6" t="inlineStr"/>
    </row>
    <row r="13" ht="22" customHeight="1">
      <c r="B13" s="5" t="n">
        <v>9</v>
      </c>
      <c r="D13" s="5" t="inlineStr">
        <is>
          <t>Boom orientation</t>
        </is>
      </c>
      <c r="E13" s="5" t="inlineStr">
        <is>
          <t>Specify: Boom orientation must minimize tower shadow for prevailing wind directions. For Tirunelveli (prevailing SW/NE winds): booms at 315° and 135° (perpendicular to prevailing winds). Ask for orientation justification.</t>
        </is>
      </c>
      <c r="F13" s="5" t="inlineStr">
        <is>
          <t>IEC 61400-12-1 §5.3.5</t>
        </is>
      </c>
      <c r="G13" s="5" t="inlineStr">
        <is>
          <t>High</t>
        </is>
      </c>
      <c r="H13" s="5" t="inlineStr"/>
      <c r="I13" s="5" t="inlineStr"/>
      <c r="J13" s="5" t="inlineStr"/>
    </row>
    <row r="14" ht="22" customHeight="1">
      <c r="B14" s="6" t="n">
        <v>10</v>
      </c>
      <c r="D14" s="6" t="inlineStr">
        <is>
          <t>Tower shadow correction</t>
        </is>
      </c>
      <c r="E14" s="6" t="inlineStr">
        <is>
          <t>Require: Vendor must provide tower shadow correction methodology — either from wind tunnel tests on the specific mast cross-section or using IEC 61400-12-1 Annex G formulas. Ask for correction coefficients.</t>
        </is>
      </c>
      <c r="F14" s="6" t="inlineStr">
        <is>
          <t>IEC 61400-12-1 Annex G</t>
        </is>
      </c>
      <c r="G14" s="6" t="inlineStr">
        <is>
          <t>Critical</t>
        </is>
      </c>
      <c r="H14" s="6" t="inlineStr"/>
      <c r="I14" s="6" t="inlineStr"/>
      <c r="J14" s="6" t="inlineStr"/>
    </row>
    <row r="15" ht="22" customHeight="1">
      <c r="B15" s="5" t="n">
        <v>11</v>
      </c>
      <c r="D15" s="5" t="inlineStr">
        <is>
          <t>Anemometer mounting detail</t>
        </is>
      </c>
      <c r="E15" s="5" t="inlineStr">
        <is>
          <t>Ask: How is the anemometer mounted on the boom? Must use manufacturer-approved mounting bracket with proper alignment. Anemometer shaft must be vertical within ±1°. Ask for mounting detail drawing.</t>
        </is>
      </c>
      <c r="F15" s="5" t="inlineStr">
        <is>
          <t>IEC 61400-12-1 §5.3</t>
        </is>
      </c>
      <c r="G15" s="5" t="inlineStr">
        <is>
          <t>High</t>
        </is>
      </c>
      <c r="H15" s="5" t="inlineStr"/>
      <c r="I15" s="5" t="inlineStr"/>
      <c r="J15" s="5" t="inlineStr"/>
    </row>
    <row r="16" ht="22" customHeight="1">
      <c r="B16" s="6" t="n">
        <v>12</v>
      </c>
      <c r="D16" s="6" t="inlineStr">
        <is>
          <t>Overspeeding correction</t>
        </is>
      </c>
      <c r="E16" s="6" t="inlineStr">
        <is>
          <t>Ask: Has overspeeding correction been considered? Cup anemometers tend to overestimate in turbulent flow. Class 1 anemometers have known overspeeding characteristics — ask for correction data.</t>
        </is>
      </c>
      <c r="F16" s="6" t="inlineStr">
        <is>
          <t>IEC 61400-12-1 Annex F</t>
        </is>
      </c>
      <c r="G16" s="6" t="inlineStr">
        <is>
          <t>Medium</t>
        </is>
      </c>
      <c r="H16" s="6" t="inlineStr"/>
      <c r="I16" s="6" t="inlineStr"/>
      <c r="J16" s="6" t="inlineStr"/>
    </row>
    <row r="17" ht="22" customHeight="1">
      <c r="B17" s="7" t="n">
        <v>1</v>
      </c>
      <c r="C17" s="8" t="inlineStr">
        <is>
          <t>2. Wind Vanes (Wind Direction)</t>
        </is>
      </c>
      <c r="D17" s="7" t="inlineStr">
        <is>
          <t>Sensor type</t>
        </is>
      </c>
      <c r="E17" s="7" t="inlineStr">
        <is>
          <t>Specify: Potentiometer or digital wind vane. Approved models: Thies Compact (4.3150.x0), NRG #200P, or Vector W200P. Ask for type selection justification.</t>
        </is>
      </c>
      <c r="F17" s="7" t="inlineStr">
        <is>
          <t>IEC 61400-12-1 §5.4</t>
        </is>
      </c>
      <c r="G17" s="7" t="inlineStr">
        <is>
          <t>High</t>
        </is>
      </c>
      <c r="H17" s="7" t="inlineStr"/>
      <c r="I17" s="7" t="inlineStr"/>
      <c r="J17" s="7" t="inlineStr"/>
    </row>
    <row r="18" ht="22" customHeight="1">
      <c r="B18" s="6" t="n">
        <v>2</v>
      </c>
      <c r="D18" s="6" t="inlineStr">
        <is>
          <t>Quantity and placement</t>
        </is>
      </c>
      <c r="E18" s="6" t="inlineStr">
        <is>
          <t>Specify: Minimum 2 wind vanes — at 120m and 58m heights. Mount on dedicated booms (separate from anemometer booms) to avoid flow interference. Minimum 1m vertical separation from anemometer.</t>
        </is>
      </c>
      <c r="F18" s="6" t="inlineStr">
        <is>
          <t>IEC 61400-12-1 §5.4</t>
        </is>
      </c>
      <c r="G18" s="6" t="inlineStr">
        <is>
          <t>High</t>
        </is>
      </c>
      <c r="H18" s="6" t="inlineStr"/>
      <c r="I18" s="6" t="inlineStr"/>
      <c r="J18" s="6" t="inlineStr"/>
    </row>
    <row r="19" ht="22" customHeight="1">
      <c r="B19" s="5" t="n">
        <v>3</v>
      </c>
      <c r="D19" s="5" t="inlineStr">
        <is>
          <t>Dead band specification</t>
        </is>
      </c>
      <c r="E19" s="5" t="inlineStr">
        <is>
          <t>Ask: What is the dead band of the vane? Must be &lt; 5° (typically 1-3° for quality vanes). Dead band must be oriented away from prevailing wind directions. Ask for dead band orientation recommendation.</t>
        </is>
      </c>
      <c r="F19" s="5" t="inlineStr">
        <is>
          <t>IEC 61400-12-1 §5.4</t>
        </is>
      </c>
      <c r="G19" s="5" t="inlineStr">
        <is>
          <t>High</t>
        </is>
      </c>
      <c r="H19" s="5" t="inlineStr"/>
      <c r="I19" s="5" t="inlineStr"/>
      <c r="J19" s="5" t="inlineStr"/>
    </row>
    <row r="20" ht="22" customHeight="1">
      <c r="B20" s="6" t="n">
        <v>4</v>
      </c>
      <c r="D20" s="6" t="inlineStr">
        <is>
          <t>Direction calibration</t>
        </is>
      </c>
      <c r="E20" s="6" t="inlineStr">
        <is>
          <t>Require: Each vane must have a direction calibration certificate confirming linearity and dead band. Calibration to be performed in controlled conditions. Ask for calibration method and certificate.</t>
        </is>
      </c>
      <c r="F20" s="6" t="inlineStr">
        <is>
          <t>IEC 61400-12-1</t>
        </is>
      </c>
      <c r="G20" s="6" t="inlineStr">
        <is>
          <t>High</t>
        </is>
      </c>
      <c r="H20" s="6" t="inlineStr"/>
      <c r="I20" s="6" t="inlineStr"/>
      <c r="J20" s="6" t="inlineStr"/>
    </row>
    <row r="21" ht="22" customHeight="1">
      <c r="B21" s="5" t="n">
        <v>5</v>
      </c>
      <c r="D21" s="5" t="inlineStr">
        <is>
          <t>Vane orientation procedure</t>
        </is>
      </c>
      <c r="E21" s="5" t="inlineStr">
        <is>
          <t>Ask: What is the procedure for orienting the vane to true north? Must use survey-grade compass or GPS. Orientation error must be &lt; 2°. Ask for orientation procedure and verification method.</t>
        </is>
      </c>
      <c r="F21" s="5" t="inlineStr">
        <is>
          <t>IEC 61400-12-1 §5.4.3</t>
        </is>
      </c>
      <c r="G21" s="5" t="inlineStr">
        <is>
          <t>Critical</t>
        </is>
      </c>
      <c r="H21" s="5" t="inlineStr"/>
      <c r="I21" s="5" t="inlineStr"/>
      <c r="J21" s="5" t="inlineStr"/>
    </row>
    <row r="22" ht="22" customHeight="1">
      <c r="B22" s="6" t="n">
        <v>6</v>
      </c>
      <c r="D22" s="6" t="inlineStr">
        <is>
          <t>Boom length for vanes</t>
        </is>
      </c>
      <c r="E22" s="6" t="inlineStr">
        <is>
          <t>Specify: Vane boom length minimum 4× mast face width (shorter than anemometer boom is acceptable). For 1.2m face: minimum 4.8m boom. Ask for boom design.</t>
        </is>
      </c>
      <c r="F22" s="6" t="inlineStr">
        <is>
          <t>IEC 61400-12-1</t>
        </is>
      </c>
      <c r="G22" s="6" t="inlineStr">
        <is>
          <t>High</t>
        </is>
      </c>
      <c r="H22" s="6" t="inlineStr"/>
      <c r="I22" s="6" t="inlineStr"/>
      <c r="J22" s="6" t="inlineStr"/>
    </row>
    <row r="23" ht="22" customHeight="1">
      <c r="B23" s="7" t="n">
        <v>1</v>
      </c>
      <c r="C23" s="8" t="inlineStr">
        <is>
          <t>3. Temperature Sensors</t>
        </is>
      </c>
      <c r="D23" s="7" t="inlineStr">
        <is>
          <t>Sensor type</t>
        </is>
      </c>
      <c r="E23" s="7" t="inlineStr">
        <is>
          <t>Specify: PT100 RTD or precision thermistor with radiation shield. Approved: NRG #110S with #RS-50 shield, Thies Pt100 with shield. Must be shielded from direct solar radiation.</t>
        </is>
      </c>
      <c r="F23" s="7" t="inlineStr">
        <is>
          <t>IEC 61400-12-1 §5.5</t>
        </is>
      </c>
      <c r="G23" s="7" t="inlineStr">
        <is>
          <t>High</t>
        </is>
      </c>
      <c r="H23" s="7" t="inlineStr"/>
      <c r="I23" s="7" t="inlineStr"/>
      <c r="J23" s="7" t="inlineStr"/>
    </row>
    <row r="24" ht="22" customHeight="1">
      <c r="B24" s="6" t="n">
        <v>2</v>
      </c>
      <c r="D24" s="6" t="inlineStr">
        <is>
          <t>Quantity and placement</t>
        </is>
      </c>
      <c r="E24" s="6" t="inlineStr">
        <is>
          <t>Specify: Minimum 2 temperature sensors — at 120m (or near hub height) and at 3m AGL. The temperature gradient between these levels is critical for stability analysis and vertical extrapolation.</t>
        </is>
      </c>
      <c r="F24" s="6" t="inlineStr">
        <is>
          <t>IEC 61400-12-1 §5.5</t>
        </is>
      </c>
      <c r="G24" s="6" t="inlineStr">
        <is>
          <t>High</t>
        </is>
      </c>
      <c r="H24" s="6" t="inlineStr"/>
      <c r="I24" s="6" t="inlineStr"/>
      <c r="J24" s="6" t="inlineStr"/>
    </row>
    <row r="25" ht="22" customHeight="1">
      <c r="B25" s="5" t="n">
        <v>3</v>
      </c>
      <c r="D25" s="5" t="inlineStr">
        <is>
          <t>Accuracy requirement</t>
        </is>
      </c>
      <c r="E25" s="5" t="inlineStr">
        <is>
          <t>Specify: Accuracy ±0.3°C or better over the operating range (-20°C to +60°C). Ask for calibration certificate with accuracy statement at multiple temperature points.</t>
        </is>
      </c>
      <c r="F25" s="5" t="inlineStr">
        <is>
          <t>IEC 61400-12-1</t>
        </is>
      </c>
      <c r="G25" s="5" t="inlineStr">
        <is>
          <t>High</t>
        </is>
      </c>
      <c r="H25" s="5" t="inlineStr"/>
      <c r="I25" s="5" t="inlineStr"/>
      <c r="J25" s="5" t="inlineStr"/>
    </row>
    <row r="26" ht="22" customHeight="1">
      <c r="B26" s="6" t="n">
        <v>4</v>
      </c>
      <c r="D26" s="6" t="inlineStr">
        <is>
          <t>Radiation shield</t>
        </is>
      </c>
      <c r="E26" s="6" t="inlineStr">
        <is>
          <t>Require: ALL temperature sensors must be equipped with naturally-ventilated radiation shields (multi-plate type, e.g., NRG #RS-50 or Gill type). Without shields, solar heating causes 1-3°C positive bias. Ask for shield type.</t>
        </is>
      </c>
      <c r="F26" s="6" t="inlineStr">
        <is>
          <t>IEC 61400-12-1 / WMO CIMO Guide</t>
        </is>
      </c>
      <c r="G26" s="6" t="inlineStr">
        <is>
          <t>Critical</t>
        </is>
      </c>
      <c r="H26" s="6" t="inlineStr"/>
      <c r="I26" s="6" t="inlineStr"/>
      <c r="J26" s="6" t="inlineStr"/>
    </row>
    <row r="27" ht="22" customHeight="1">
      <c r="B27" s="5" t="n">
        <v>5</v>
      </c>
      <c r="D27" s="5" t="inlineStr">
        <is>
          <t>Temperature calibration</t>
        </is>
      </c>
      <c r="E27" s="5" t="inlineStr">
        <is>
          <t>Require: Calibration certificate per ITS-90 for PT100 sensors. Minimum 3-point calibration (0°C, 25°C, 50°C). Ask for calibration certificate and uncertainty statement.</t>
        </is>
      </c>
      <c r="F27" s="5" t="inlineStr">
        <is>
          <t>ITS-90 / IEC 60751</t>
        </is>
      </c>
      <c r="G27" s="5" t="inlineStr">
        <is>
          <t>High</t>
        </is>
      </c>
      <c r="H27" s="5" t="inlineStr"/>
      <c r="I27" s="5" t="inlineStr"/>
      <c r="J27" s="5" t="inlineStr"/>
    </row>
    <row r="28" ht="22" customHeight="1">
      <c r="B28" s="7" t="n">
        <v>1</v>
      </c>
      <c r="C28" s="8" t="inlineStr">
        <is>
          <t>4. Barometric Pressure</t>
        </is>
      </c>
      <c r="D28" s="7" t="inlineStr">
        <is>
          <t>Sensor type</t>
        </is>
      </c>
      <c r="E28" s="7" t="inlineStr">
        <is>
          <t>Specify: Barometric pressure sensor with accuracy ±0.5 hPa or better. Approved: NRG BP20, Vaisala PTB330, or Setra 278. Mount in weatherproof enclosure at mast base.</t>
        </is>
      </c>
      <c r="F28" s="7" t="inlineStr">
        <is>
          <t>IEC 61400-12-1 §5.6</t>
        </is>
      </c>
      <c r="G28" s="7" t="inlineStr">
        <is>
          <t>High</t>
        </is>
      </c>
      <c r="H28" s="7" t="inlineStr"/>
      <c r="I28" s="7" t="inlineStr"/>
      <c r="J28" s="7" t="inlineStr"/>
    </row>
    <row r="29" ht="22" customHeight="1">
      <c r="B29" s="5" t="n">
        <v>2</v>
      </c>
      <c r="D29" s="5" t="inlineStr">
        <is>
          <t>Accuracy and range</t>
        </is>
      </c>
      <c r="E29" s="5" t="inlineStr">
        <is>
          <t>Specify: Range 600-1100 hPa, accuracy ±0.5 hPa at 20°C. Must include temperature compensation. Ask for calibration certificate with traceability to national standards.</t>
        </is>
      </c>
      <c r="F29" s="5" t="inlineStr">
        <is>
          <t>IEC 61400-12-1</t>
        </is>
      </c>
      <c r="G29" s="5" t="inlineStr">
        <is>
          <t>High</t>
        </is>
      </c>
      <c r="H29" s="5" t="inlineStr"/>
      <c r="I29" s="5" t="inlineStr"/>
      <c r="J29" s="5" t="inlineStr"/>
    </row>
    <row r="30" ht="22" customHeight="1">
      <c r="B30" s="6" t="n">
        <v>3</v>
      </c>
      <c r="D30" s="6" t="inlineStr">
        <is>
          <t>Installation location</t>
        </is>
      </c>
      <c r="E30" s="6" t="inlineStr">
        <is>
          <t>Specify: Sensor installed in weatherproof IP65 enclosure at mast base, with static pressure head (to avoid wind-induced pressure errors). Ask for installation detail.</t>
        </is>
      </c>
      <c r="F30" s="6" t="inlineStr">
        <is>
          <t>Industry Practice</t>
        </is>
      </c>
      <c r="G30" s="6" t="inlineStr">
        <is>
          <t>Medium</t>
        </is>
      </c>
      <c r="H30" s="6" t="inlineStr"/>
      <c r="I30" s="6" t="inlineStr"/>
      <c r="J30" s="6" t="inlineStr"/>
    </row>
    <row r="31" ht="22" customHeight="1">
      <c r="B31" s="5" t="n">
        <v>4</v>
      </c>
      <c r="D31" s="5" t="inlineStr">
        <is>
          <t>Calibration certificate</t>
        </is>
      </c>
      <c r="E31" s="5" t="inlineStr">
        <is>
          <t>Require: Calibration certificate traceable to NPL/NIST. Minimum 5-point calibration across operating range. Certificate less than 12 months old.</t>
        </is>
      </c>
      <c r="F31" s="5" t="inlineStr">
        <is>
          <t>IEC 61400-12-1</t>
        </is>
      </c>
      <c r="G31" s="5" t="inlineStr">
        <is>
          <t>High</t>
        </is>
      </c>
      <c r="H31" s="5" t="inlineStr"/>
      <c r="I31" s="5" t="inlineStr"/>
      <c r="J31" s="5" t="inlineStr"/>
    </row>
    <row r="32" ht="22" customHeight="1">
      <c r="B32" s="7" t="n">
        <v>1</v>
      </c>
      <c r="C32" s="8" t="inlineStr">
        <is>
          <t>5. Relative Humidity</t>
        </is>
      </c>
      <c r="D32" s="7" t="inlineStr">
        <is>
          <t>Sensor type</t>
        </is>
      </c>
      <c r="E32" s="7" t="inlineStr">
        <is>
          <t>Specify: Capacitive RH sensor with accuracy ±3% RH. Approved: NRG #XH, Rotronic HC2, Vaisala HMP155. Mount in sheltered position with radiation shield.</t>
        </is>
      </c>
      <c r="F32" s="7" t="inlineStr">
        <is>
          <t>Industry Best Practice</t>
        </is>
      </c>
      <c r="G32" s="7" t="inlineStr">
        <is>
          <t>Medium</t>
        </is>
      </c>
      <c r="H32" s="7" t="inlineStr"/>
      <c r="I32" s="7" t="inlineStr"/>
      <c r="J32" s="7" t="inlineStr"/>
    </row>
    <row r="33" ht="22" customHeight="1">
      <c r="B33" s="5" t="n">
        <v>2</v>
      </c>
      <c r="D33" s="5" t="inlineStr">
        <is>
          <t>Purpose</t>
        </is>
      </c>
      <c r="E33" s="5" t="inlineStr">
        <is>
          <t>Explain: RH data is used for (1) air density correction (affects energy yield), (2) icing detection (RH &gt; 95% + T &lt; 0°C = icing risk), and (3) data quality checks.</t>
        </is>
      </c>
      <c r="F33" s="5" t="inlineStr">
        <is>
          <t>Industry Best Practice</t>
        </is>
      </c>
      <c r="G33" s="5" t="inlineStr">
        <is>
          <t>Medium</t>
        </is>
      </c>
      <c r="H33" s="5" t="inlineStr"/>
      <c r="I33" s="5" t="inlineStr"/>
      <c r="J33" s="5" t="inlineStr"/>
    </row>
    <row r="34" ht="22" customHeight="1">
      <c r="B34" s="7" t="n">
        <v>1</v>
      </c>
      <c r="C34" s="8" t="inlineStr">
        <is>
          <t>6. Data Logger &amp; Communication</t>
        </is>
      </c>
      <c r="D34" s="7" t="inlineStr">
        <is>
          <t>Data logger model</t>
        </is>
      </c>
      <c r="E34" s="7" t="inlineStr">
        <is>
          <t>Specify: Industry-standard logger with IEC 61400-12-1 compliance. Approved: NRG SymphoniePRO, Ammonit Meteo-42, Campbell Scientific CR6, or Wicom Loggy-L. Ask for model comparison and recommendation.</t>
        </is>
      </c>
      <c r="F34" s="7" t="inlineStr">
        <is>
          <t>IEC 61400-12-1 §6</t>
        </is>
      </c>
      <c r="G34" s="7" t="inlineStr">
        <is>
          <t>Critical</t>
        </is>
      </c>
      <c r="H34" s="7" t="inlineStr"/>
      <c r="I34" s="7" t="inlineStr"/>
      <c r="J34" s="7" t="inlineStr"/>
    </row>
    <row r="35" ht="22" customHeight="1">
      <c r="B35" s="5" t="n">
        <v>2</v>
      </c>
      <c r="D35" s="5" t="inlineStr">
        <is>
          <t>Number of channels</t>
        </is>
      </c>
      <c r="E35" s="5" t="inlineStr">
        <is>
          <t>Specify: Minimum 16 channels (6 anemometers + 2 vanes + 2 temp + 1 pressure + 1 RH + 1 rain + 1 spare counter + 2 spare analog). Ask for channel allocation plan.</t>
        </is>
      </c>
      <c r="F35" s="5" t="inlineStr">
        <is>
          <t>IEC 61400-12-1</t>
        </is>
      </c>
      <c r="G35" s="5" t="inlineStr">
        <is>
          <t>Critical</t>
        </is>
      </c>
      <c r="H35" s="5" t="inlineStr"/>
      <c r="I35" s="5" t="inlineStr"/>
      <c r="J35" s="5" t="inlineStr"/>
    </row>
    <row r="36" ht="22" customHeight="1">
      <c r="B36" s="6" t="n">
        <v>3</v>
      </c>
      <c r="D36" s="6" t="inlineStr">
        <is>
          <t>Sampling rate and averaging</t>
        </is>
      </c>
      <c r="E36" s="6" t="inlineStr">
        <is>
          <t>Specify: Minimum 1 Hz sampling, 10-minute statistical output (mean, max, min, standard deviation) per IEC 61400-12-1. Ask for confirmation and specify no sub-sampling.</t>
        </is>
      </c>
      <c r="F36" s="6" t="inlineStr">
        <is>
          <t>IEC 61400-12-1 §6.2-6.3</t>
        </is>
      </c>
      <c r="G36" s="6" t="inlineStr">
        <is>
          <t>Critical</t>
        </is>
      </c>
      <c r="H36" s="6" t="inlineStr"/>
      <c r="I36" s="6" t="inlineStr"/>
      <c r="J36" s="6" t="inlineStr"/>
    </row>
    <row r="37" ht="22" customHeight="1">
      <c r="B37" s="5" t="n">
        <v>4</v>
      </c>
      <c r="D37" s="5" t="inlineStr">
        <is>
          <t>Data storage capacity</t>
        </is>
      </c>
      <c r="E37" s="5" t="inlineStr">
        <is>
          <t>Specify: Minimum 6 months of data storage on SD card as backup (in case of communication failure). Ask for storage capacity calculation based on number of channels and logging interval.</t>
        </is>
      </c>
      <c r="F37" s="5" t="inlineStr">
        <is>
          <t>Industry Best Practice</t>
        </is>
      </c>
      <c r="G37" s="5" t="inlineStr">
        <is>
          <t>High</t>
        </is>
      </c>
      <c r="H37" s="5" t="inlineStr"/>
      <c r="I37" s="5" t="inlineStr"/>
      <c r="J37" s="5" t="inlineStr"/>
    </row>
    <row r="38" ht="22" customHeight="1">
      <c r="B38" s="6" t="n">
        <v>5</v>
      </c>
      <c r="D38" s="6" t="inlineStr">
        <is>
          <t>GPS time synchronization</t>
        </is>
      </c>
      <c r="E38" s="6" t="inlineStr">
        <is>
          <t>Require: GPS-synchronized clock for accurate timestamping. Clock drift must be &lt; 10 seconds per month. GPS antenna must be installed with clear sky view. Ask for GPS sync specification.</t>
        </is>
      </c>
      <c r="F38" s="6" t="inlineStr">
        <is>
          <t>IEC 61400-12-1 §6.2</t>
        </is>
      </c>
      <c r="G38" s="6" t="inlineStr">
        <is>
          <t>High</t>
        </is>
      </c>
      <c r="H38" s="6" t="inlineStr"/>
      <c r="I38" s="6" t="inlineStr"/>
      <c r="J38" s="6" t="inlineStr"/>
    </row>
    <row r="39" ht="22" customHeight="1">
      <c r="B39" s="5" t="n">
        <v>6</v>
      </c>
      <c r="D39" s="5" t="inlineStr">
        <is>
          <t>4G/LTE communication</t>
        </is>
      </c>
      <c r="E39" s="5" t="inlineStr">
        <is>
          <t>Specify: Built-in 4G/LTE modem for daily data push to cloud/FTP server. Must support SMTP email and FTP/SFTP protocols. Ask for data push frequency and protocol details.</t>
        </is>
      </c>
      <c r="F39" s="5" t="inlineStr">
        <is>
          <t>Industry Best Practice</t>
        </is>
      </c>
      <c r="G39" s="5" t="inlineStr">
        <is>
          <t>High</t>
        </is>
      </c>
      <c r="H39" s="5" t="inlineStr"/>
      <c r="I39" s="5" t="inlineStr"/>
      <c r="J39" s="5" t="inlineStr"/>
    </row>
    <row r="40" ht="22" customHeight="1">
      <c r="B40" s="6" t="n">
        <v>7</v>
      </c>
      <c r="D40" s="6" t="inlineStr">
        <is>
          <t>Satellite backup</t>
        </is>
      </c>
      <c r="E40" s="6" t="inlineStr">
        <is>
          <t>Ask: Is satellite communication available as backup? For remote Indian sites with poor cellular coverage, Iridium or other satellite modem is essential. Ask for satellite communication option and cost.</t>
        </is>
      </c>
      <c r="F40" s="6" t="inlineStr">
        <is>
          <t>Industry Best Practice</t>
        </is>
      </c>
      <c r="G40" s="6" t="inlineStr">
        <is>
          <t>Medium</t>
        </is>
      </c>
      <c r="H40" s="6" t="inlineStr"/>
      <c r="I40" s="6" t="inlineStr"/>
      <c r="J40" s="6" t="inlineStr"/>
    </row>
    <row r="41" ht="22" customHeight="1">
      <c r="B41" s="5" t="n">
        <v>8</v>
      </c>
      <c r="D41" s="5" t="inlineStr">
        <is>
          <t>Data format compatibility</t>
        </is>
      </c>
      <c r="E41" s="5" t="inlineStr">
        <is>
          <t>Ask: What output data format is supported? Must be compatible with Windographer, WAsP, and standard analysis tools. Formats: RWD (NRG), SDAT (Ammonit), or standard CSV with headers. Ask for sample data file.</t>
        </is>
      </c>
      <c r="F41" s="5" t="inlineStr">
        <is>
          <t>Industry Best Practice</t>
        </is>
      </c>
      <c r="G41" s="5" t="inlineStr">
        <is>
          <t>High</t>
        </is>
      </c>
      <c r="H41" s="5" t="inlineStr"/>
      <c r="I41" s="5" t="inlineStr"/>
      <c r="J41" s="5" t="inlineStr"/>
    </row>
    <row r="42" ht="22" customHeight="1">
      <c r="B42" s="6" t="n">
        <v>9</v>
      </c>
      <c r="D42" s="6" t="inlineStr">
        <is>
          <t>Remote diagnostics</t>
        </is>
      </c>
      <c r="E42" s="6" t="inlineStr">
        <is>
          <t>Ask: Can the logger be remotely monitored and configured? Require: remote status check (battery voltage, sensor health, communication status) via web portal or email. Ask for remote access capability.</t>
        </is>
      </c>
      <c r="F42" s="6" t="inlineStr">
        <is>
          <t>Industry Best Practice</t>
        </is>
      </c>
      <c r="G42" s="6" t="inlineStr">
        <is>
          <t>Medium</t>
        </is>
      </c>
      <c r="H42" s="6" t="inlineStr"/>
      <c r="I42" s="6" t="inlineStr"/>
      <c r="J42" s="6" t="inlineStr"/>
    </row>
    <row r="43" ht="22" customHeight="1">
      <c r="B43" s="5" t="n">
        <v>10</v>
      </c>
      <c r="D43" s="5" t="inlineStr">
        <is>
          <t>Power supply</t>
        </is>
      </c>
      <c r="E43" s="5" t="inlineStr">
        <is>
          <t>Ask: What is the power supply? For 120m mast: solar panel (minimum 50W) + battery (minimum 40Ah) for logger + communication. Ask for power budget calculation including all sensors and modem.</t>
        </is>
      </c>
      <c r="F43" s="5" t="inlineStr">
        <is>
          <t>Industry Best Practice</t>
        </is>
      </c>
      <c r="G43" s="5" t="inlineStr">
        <is>
          <t>High</t>
        </is>
      </c>
      <c r="H43" s="5" t="inlineStr"/>
      <c r="I43" s="5" t="inlineStr"/>
      <c r="J43" s="5" t="inlineStr"/>
    </row>
    <row r="44" ht="22" customHeight="1">
      <c r="B44" s="6" t="n">
        <v>11</v>
      </c>
      <c r="D44" s="6" t="inlineStr">
        <is>
          <t>Logger enclosure</t>
        </is>
      </c>
      <c r="E44" s="6" t="inlineStr">
        <is>
          <t>Specify: IP65 weatherproof steel enclosure with lock, mounted at mast base (2-3m AGL). Must include DIN rail for SPDs, terminal blocks, and cable glands. Ask for enclosure specification.</t>
        </is>
      </c>
      <c r="F44" s="6" t="inlineStr">
        <is>
          <t>IEC 60529 / Industry Practice</t>
        </is>
      </c>
      <c r="G44" s="6" t="inlineStr">
        <is>
          <t>High</t>
        </is>
      </c>
      <c r="H44" s="6" t="inlineStr"/>
      <c r="I44" s="6" t="inlineStr"/>
      <c r="J44" s="6" t="inlineStr"/>
    </row>
    <row r="45" ht="22" customHeight="1">
      <c r="B45" s="7" t="n">
        <v>1</v>
      </c>
      <c r="C45" s="8" t="inlineStr">
        <is>
          <t>7. Booms &amp; Mounting Hardware</t>
        </is>
      </c>
      <c r="D45" s="7" t="inlineStr">
        <is>
          <t>Boom material</t>
        </is>
      </c>
      <c r="E45" s="7" t="inlineStr">
        <is>
          <t>Specify: Hot-dip galvanized steel tube or angle, minimum 50mm diameter / 50×50×5 angle. Must be rigid enough to prevent vibration-induced anemometer errors. Ask for boom section specification.</t>
        </is>
      </c>
      <c r="F45" s="7" t="inlineStr">
        <is>
          <t>IEC 61400-12-1</t>
        </is>
      </c>
      <c r="G45" s="7" t="inlineStr">
        <is>
          <t>High</t>
        </is>
      </c>
      <c r="H45" s="7" t="inlineStr"/>
      <c r="I45" s="7" t="inlineStr"/>
      <c r="J45" s="7" t="inlineStr"/>
    </row>
    <row r="46" ht="22" customHeight="1">
      <c r="B46" s="6" t="n">
        <v>2</v>
      </c>
      <c r="D46" s="6" t="inlineStr">
        <is>
          <t>Boom length verification</t>
        </is>
      </c>
      <c r="E46" s="6" t="inlineStr">
        <is>
          <t>Ask: Confirm boom length meets IEC requirement. For 1.2m face width mast: minimum 7.2m boom (6× face width). Use 8m booms for margin. Ask for boom length calculation.</t>
        </is>
      </c>
      <c r="F46" s="6" t="inlineStr">
        <is>
          <t>IEC 61400-12-1 §5.3.5</t>
        </is>
      </c>
      <c r="G46" s="6" t="inlineStr">
        <is>
          <t>Critical</t>
        </is>
      </c>
      <c r="H46" s="6" t="inlineStr"/>
      <c r="I46" s="6" t="inlineStr"/>
      <c r="J46" s="6" t="inlineStr"/>
    </row>
    <row r="47" ht="22" customHeight="1">
      <c r="B47" s="5" t="n">
        <v>3</v>
      </c>
      <c r="D47" s="5" t="inlineStr">
        <is>
          <t>Boom vibration damping</t>
        </is>
      </c>
      <c r="E47" s="5" t="inlineStr">
        <is>
          <t>Ask: Are boom dampers provided? Boom vibration can cause anemometer measurement errors. Specify vibration dampers or guyed boom supports for booms &gt; 5m. Ask for vibration analysis.</t>
        </is>
      </c>
      <c r="F47" s="5" t="inlineStr">
        <is>
          <t>IEC 61400-12-1</t>
        </is>
      </c>
      <c r="G47" s="5" t="inlineStr">
        <is>
          <t>High</t>
        </is>
      </c>
      <c r="H47" s="5" t="inlineStr"/>
      <c r="I47" s="5" t="inlineStr"/>
      <c r="J47" s="5" t="inlineStr"/>
    </row>
    <row r="48" ht="22" customHeight="1">
      <c r="B48" s="6" t="n">
        <v>4</v>
      </c>
      <c r="D48" s="6" t="inlineStr">
        <is>
          <t>Sensor cable routing</t>
        </is>
      </c>
      <c r="E48" s="6" t="inlineStr">
        <is>
          <t>Ask: How are sensor cables routed? Specify: cables inside boom tube or in UV-resistant conduit along boom. No dangling cables. Cable glands at logger enclosure. Ask for cable routing detail.</t>
        </is>
      </c>
      <c r="F48" s="6" t="inlineStr">
        <is>
          <t>Industry Practice</t>
        </is>
      </c>
      <c r="G48" s="6" t="inlineStr">
        <is>
          <t>Medium</t>
        </is>
      </c>
      <c r="H48" s="6" t="inlineStr"/>
      <c r="I48" s="6" t="inlineStr"/>
      <c r="J48" s="6" t="inlineStr"/>
    </row>
    <row r="49" ht="22" customHeight="1">
      <c r="B49" s="5" t="n">
        <v>5</v>
      </c>
      <c r="D49" s="5" t="inlineStr">
        <is>
          <t>Boom mounting bracket</t>
        </is>
      </c>
      <c r="E49" s="5" t="inlineStr">
        <is>
          <t>Ask: What type of boom-to-mast bracket is used? Must be rigid, galvanized, and allow precise boom orientation. Ask for bracket design and orientation adjustment capability.</t>
        </is>
      </c>
      <c r="F49" s="5" t="inlineStr">
        <is>
          <t>IEC 61400-12-1</t>
        </is>
      </c>
      <c r="G49" s="5" t="inlineStr">
        <is>
          <t>High</t>
        </is>
      </c>
      <c r="H49" s="5" t="inlineStr"/>
      <c r="I49" s="5" t="inlineStr"/>
      <c r="J49" s="5" t="inlineStr"/>
    </row>
    <row r="50" ht="22" customHeight="1">
      <c r="B50" s="7" t="n">
        <v>1</v>
      </c>
      <c r="C50" s="8" t="inlineStr">
        <is>
          <t>8. Calibration &amp; Documentation</t>
        </is>
      </c>
      <c r="D50" s="7" t="inlineStr">
        <is>
          <t>Anemometer calibration certificates</t>
        </is>
      </c>
      <c r="E50" s="7" t="inlineStr">
        <is>
          <t>Require: Individual MEASNET-traceable wind tunnel calibration certificate for EACH anemometer. Certificate must include: calibration lab accreditation, calibration date, transfer function, uncertainty, and test points.</t>
        </is>
      </c>
      <c r="F50" s="7" t="inlineStr">
        <is>
          <t>MEASNET / IEC 61400-12-1</t>
        </is>
      </c>
      <c r="G50" s="7" t="inlineStr">
        <is>
          <t>Critical</t>
        </is>
      </c>
      <c r="H50" s="7" t="inlineStr"/>
      <c r="I50" s="7" t="inlineStr"/>
      <c r="J50" s="7" t="inlineStr"/>
    </row>
    <row r="51" ht="22" customHeight="1">
      <c r="B51" s="5" t="n">
        <v>2</v>
      </c>
      <c r="D51" s="5" t="inlineStr">
        <is>
          <t>Wind vane calibration certificates</t>
        </is>
      </c>
      <c r="E51" s="5" t="inlineStr">
        <is>
          <t>Require: Direction calibration certificate for each wind vane including dead band measurement, linearity check, and orientation reference. Ask for calibration procedure documentation.</t>
        </is>
      </c>
      <c r="F51" s="5" t="inlineStr">
        <is>
          <t>IEC 61400-12-1</t>
        </is>
      </c>
      <c r="G51" s="5" t="inlineStr">
        <is>
          <t>High</t>
        </is>
      </c>
      <c r="H51" s="5" t="inlineStr"/>
      <c r="I51" s="5" t="inlineStr"/>
      <c r="J51" s="5" t="inlineStr"/>
    </row>
    <row r="52" ht="22" customHeight="1">
      <c r="B52" s="6" t="n">
        <v>3</v>
      </c>
      <c r="D52" s="6" t="inlineStr">
        <is>
          <t>Sensor serial number log</t>
        </is>
      </c>
      <c r="E52" s="6" t="inlineStr">
        <is>
          <t>Require: Complete sensor serial number register mapping each sensor to its calibration certificate, mounting height, boom orientation, and data logger channel. Critical for data traceability.</t>
        </is>
      </c>
      <c r="F52" s="6" t="inlineStr">
        <is>
          <t>IEC 61400-12-1</t>
        </is>
      </c>
      <c r="G52" s="6" t="inlineStr">
        <is>
          <t>Critical</t>
        </is>
      </c>
      <c r="H52" s="6" t="inlineStr"/>
      <c r="I52" s="6" t="inlineStr"/>
      <c r="J52" s="6" t="inlineStr"/>
    </row>
    <row r="53" ht="22" customHeight="1">
      <c r="B53" s="5" t="n">
        <v>4</v>
      </c>
      <c r="D53" s="5" t="inlineStr">
        <is>
          <t>Sensor mounting verification</t>
        </is>
      </c>
      <c r="E53" s="5" t="inlineStr">
        <is>
          <t>Require: Post-installation verification report confirming each sensor's height, orientation, boom length, and proximity to mast elements. Includes photographs of each sensor installation.</t>
        </is>
      </c>
      <c r="F53" s="5" t="inlineStr">
        <is>
          <t>IEC 61400-12-1</t>
        </is>
      </c>
      <c r="G53" s="5" t="inlineStr">
        <is>
          <t>Critical</t>
        </is>
      </c>
      <c r="H53" s="5" t="inlineStr"/>
      <c r="I53" s="5" t="inlineStr"/>
      <c r="J53" s="5" t="inlineStr"/>
    </row>
    <row r="54" ht="22" customHeight="1">
      <c r="B54" s="6" t="n">
        <v>5</v>
      </c>
      <c r="D54" s="6" t="inlineStr">
        <is>
          <t>Data recovery monitoring plan</t>
        </is>
      </c>
      <c r="E54" s="6" t="inlineStr">
        <is>
          <t>Ask: What is the data recovery monitoring plan? Require: daily automated data quality check, weekly review of data recovery rates, monthly report. Target: ≥ 90% data recovery per IEC.</t>
        </is>
      </c>
      <c r="F54" s="6" t="inlineStr">
        <is>
          <t>IEC 61400-12-1 / Industry Standard</t>
        </is>
      </c>
      <c r="G54" s="6" t="inlineStr">
        <is>
          <t>High</t>
        </is>
      </c>
      <c r="H54" s="6" t="inlineStr"/>
      <c r="I54" s="6" t="inlineStr"/>
      <c r="J54" s="6" t="inlineStr"/>
    </row>
    <row r="55" ht="22" customHeight="1">
      <c r="B55" s="5" t="n">
        <v>6</v>
      </c>
      <c r="D55" s="5" t="inlineStr">
        <is>
          <t>Recalibration schedule</t>
        </is>
      </c>
      <c r="E55" s="5" t="inlineStr">
        <is>
          <t>Ask: What is the recalibration schedule for anemometers? MEASNET recommends recalibration after 2 years of operation. Ask vendor to include recalibration service in AMC.</t>
        </is>
      </c>
      <c r="F55" s="5" t="inlineStr">
        <is>
          <t>MEASNET</t>
        </is>
      </c>
      <c r="G55" s="5" t="inlineStr">
        <is>
          <t>Medium</t>
        </is>
      </c>
      <c r="H55" s="5" t="inlineStr"/>
      <c r="I55" s="5" t="inlineStr"/>
      <c r="J55" s="5" t="inlineStr"/>
    </row>
    <row r="56" ht="22" customHeight="1">
      <c r="B56" s="7" t="n">
        <v>1</v>
      </c>
      <c r="C56" s="8" t="inlineStr">
        <is>
          <t>9. Instrumentation Warranty &amp; Spares</t>
        </is>
      </c>
      <c r="D56" s="7" t="inlineStr">
        <is>
          <t>Instrumentation warranty</t>
        </is>
      </c>
      <c r="E56" s="7" t="inlineStr">
        <is>
          <t>Specify: Minimum 2-year warranty for all sensors and data logger from date of commissioning. Warranty must cover manufacturing defects and calibration drift beyond specifications.</t>
        </is>
      </c>
      <c r="F56" s="7" t="inlineStr">
        <is>
          <t>Industry Practice</t>
        </is>
      </c>
      <c r="G56" s="7" t="inlineStr">
        <is>
          <t>High</t>
        </is>
      </c>
      <c r="H56" s="7" t="inlineStr"/>
      <c r="I56" s="7" t="inlineStr"/>
      <c r="J56" s="7" t="inlineStr"/>
    </row>
    <row r="57" ht="22" customHeight="1">
      <c r="B57" s="5" t="n">
        <v>2</v>
      </c>
      <c r="D57" s="5" t="inlineStr">
        <is>
          <t>Spare sensors</t>
        </is>
      </c>
      <c r="E57" s="5" t="inlineStr">
        <is>
          <t>Specify: Vendor must supply minimum 1 spare anemometer (pre-calibrated), 1 spare wind vane, and 1 spare temperature sensor. These must have calibration certificates. Ask for spares list and pricing.</t>
        </is>
      </c>
      <c r="F57" s="5" t="inlineStr">
        <is>
          <t>Industry Practice</t>
        </is>
      </c>
      <c r="G57" s="5" t="inlineStr">
        <is>
          <t>High</t>
        </is>
      </c>
      <c r="H57" s="5" t="inlineStr"/>
      <c r="I57" s="5" t="inlineStr"/>
      <c r="J57" s="5" t="inlineStr"/>
    </row>
    <row r="58" ht="22" customHeight="1">
      <c r="B58" s="6" t="n">
        <v>3</v>
      </c>
      <c r="D58" s="6" t="inlineStr">
        <is>
          <t>Replacement lead time</t>
        </is>
      </c>
      <c r="E58" s="6" t="inlineStr">
        <is>
          <t>Ask: What is the lead time for sensor replacement? Target: &lt; 2 weeks for critical sensors (anemometers, vanes). Ask for emergency supply agreement.</t>
        </is>
      </c>
      <c r="F58" s="6" t="inlineStr">
        <is>
          <t>Industry Practice</t>
        </is>
      </c>
      <c r="G58" s="6" t="inlineStr">
        <is>
          <t>Medium</t>
        </is>
      </c>
      <c r="H58" s="6" t="inlineStr"/>
      <c r="I58" s="6" t="inlineStr"/>
      <c r="J58" s="6" t="inlineStr"/>
    </row>
    <row r="59" ht="22" customHeight="1">
      <c r="B59" s="5" t="n">
        <v>4</v>
      </c>
      <c r="D59" s="5" t="inlineStr">
        <is>
          <t>AMC for instrumentation</t>
        </is>
      </c>
      <c r="E59" s="5" t="inlineStr">
        <is>
          <t>Ask: Does vendor offer Annual Maintenance Contract for instrumentation? Specify: AMC includes sensor health check, recalibration scheduling, logger firmware updates, and technical support.</t>
        </is>
      </c>
      <c r="F59" s="5" t="inlineStr">
        <is>
          <t>Industry Practice</t>
        </is>
      </c>
      <c r="G59" s="5" t="inlineStr">
        <is>
          <t>Medium</t>
        </is>
      </c>
      <c r="H59" s="5" t="inlineStr"/>
      <c r="I59" s="5" t="inlineStr"/>
      <c r="J59" s="5" t="inlineStr"/>
    </row>
  </sheetData>
  <mergeCells count="10">
    <mergeCell ref="C28:C31"/>
    <mergeCell ref="C17:C22"/>
    <mergeCell ref="C50:C55"/>
    <mergeCell ref="C56:C59"/>
    <mergeCell ref="C34:C44"/>
    <mergeCell ref="C32:C33"/>
    <mergeCell ref="C5:C16"/>
    <mergeCell ref="C45:C49"/>
    <mergeCell ref="C23:C27"/>
    <mergeCell ref="B2:J2"/>
  </mergeCells>
  <conditionalFormatting sqref="G5:G59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</conditionalFormatting>
  <conditionalFormatting sqref="I5:I59">
    <cfRule type="cellIs" priority="4" operator="equal" dxfId="2">
      <formula>"Yes"</formula>
    </cfRule>
    <cfRule type="cellIs" priority="5" operator="equal" dxfId="0">
      <formula>"No"</formula>
    </cfRule>
  </conditionalFormatting>
  <dataValidations count="1">
    <dataValidation sqref="I5:I59" showDropDown="0" showInputMessage="0" showErrorMessage="0" allowBlank="1" prompt="Select compliance status" type="list">
      <formula1>"Yes,No,Partial,N/A"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8" customWidth="1" min="3" max="3"/>
    <col width="10" customWidth="1" min="4" max="4"/>
    <col width="42" customWidth="1" min="5" max="5"/>
    <col width="16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</cols>
  <sheetData>
    <row r="1" ht="15" customHeight="1"/>
    <row r="2" ht="32" customHeight="1">
      <c r="B2" s="1" t="inlineStr">
        <is>
          <t>Vendor Evaluation Matrix — Mast + Instrumentation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Evaluation Criteria</t>
        </is>
      </c>
      <c r="D4" s="2" t="inlineStr">
        <is>
          <t>Weight</t>
        </is>
      </c>
      <c r="E4" s="2" t="inlineStr">
        <is>
          <t>Key Focus Area</t>
        </is>
      </c>
      <c r="F4" s="2" t="inlineStr">
        <is>
          <t>Vendor A
Score (1-10)</t>
        </is>
      </c>
      <c r="G4" s="2" t="inlineStr">
        <is>
          <t>Vendor A
Weighted</t>
        </is>
      </c>
      <c r="H4" s="2" t="inlineStr">
        <is>
          <t>Vendor B
Score (1-10)</t>
        </is>
      </c>
      <c r="I4" s="2" t="inlineStr">
        <is>
          <t>Vendor B
Weighted</t>
        </is>
      </c>
      <c r="J4" s="2" t="inlineStr">
        <is>
          <t>Vendor C
Score (1-10)</t>
        </is>
      </c>
      <c r="K4" s="2" t="inlineStr">
        <is>
          <t>Vendor C
Weighted</t>
        </is>
      </c>
    </row>
    <row r="5" ht="22" customHeight="1">
      <c r="B5" s="5" t="n">
        <v>1</v>
      </c>
      <c r="C5" s="5" t="inlineStr">
        <is>
          <t>Structural Design &amp; Calculations</t>
        </is>
      </c>
      <c r="D5" s="5" t="inlineStr">
        <is>
          <t>15%</t>
        </is>
      </c>
      <c r="E5" s="5" t="inlineStr">
        <is>
          <t>IS 875, IS 1893, BS EN 1993-3-1 compliance, design review</t>
        </is>
      </c>
      <c r="F5" s="5" t="inlineStr"/>
      <c r="G5" s="5">
        <f>IFERROR(F5*0.15,0)</f>
        <v/>
      </c>
      <c r="H5" s="5" t="inlineStr"/>
      <c r="I5" s="5">
        <f>IFERROR(H5*0.15,0)</f>
        <v/>
      </c>
      <c r="J5" s="5" t="inlineStr"/>
      <c r="K5" s="5">
        <f>IFERROR(J5*0.15,0)</f>
        <v/>
      </c>
    </row>
    <row r="6" ht="22" customHeight="1">
      <c r="B6" s="6" t="n">
        <v>2</v>
      </c>
      <c r="C6" s="6" t="inlineStr">
        <is>
          <t>Galvanizing &amp; Corrosion Protection</t>
        </is>
      </c>
      <c r="D6" s="6" t="inlineStr">
        <is>
          <t>15%</t>
        </is>
      </c>
      <c r="E6" s="6" t="inlineStr">
        <is>
          <t>IS 2629/2633 compliance, zinc thickness, certificates</t>
        </is>
      </c>
      <c r="F6" s="6" t="inlineStr"/>
      <c r="G6" s="6">
        <f>IFERROR(F6*0.15,0)</f>
        <v/>
      </c>
      <c r="H6" s="6" t="inlineStr"/>
      <c r="I6" s="6">
        <f>IFERROR(H6*0.15,0)</f>
        <v/>
      </c>
      <c r="J6" s="6" t="inlineStr"/>
      <c r="K6" s="6">
        <f>IFERROR(J6*0.15,0)</f>
        <v/>
      </c>
    </row>
    <row r="7" ht="22" customHeight="1">
      <c r="B7" s="5" t="n">
        <v>3</v>
      </c>
      <c r="C7" s="5" t="inlineStr">
        <is>
          <t>Welding &amp; Fabrication Quality</t>
        </is>
      </c>
      <c r="D7" s="5" t="inlineStr">
        <is>
          <t>10%</t>
        </is>
      </c>
      <c r="E7" s="5" t="inlineStr">
        <is>
          <t>IS 816/AWS D1.1, NDT, WPS, welder qualifications</t>
        </is>
      </c>
      <c r="F7" s="5" t="inlineStr"/>
      <c r="G7" s="5">
        <f>IFERROR(F7*0.1,0)</f>
        <v/>
      </c>
      <c r="H7" s="5" t="inlineStr"/>
      <c r="I7" s="5">
        <f>IFERROR(H7*0.1,0)</f>
        <v/>
      </c>
      <c r="J7" s="5" t="inlineStr"/>
      <c r="K7" s="5">
        <f>IFERROR(J7*0.1,0)</f>
        <v/>
      </c>
    </row>
    <row r="8" ht="22" customHeight="1">
      <c r="B8" s="6" t="n">
        <v>4</v>
      </c>
      <c r="C8" s="6" t="inlineStr">
        <is>
          <t>Bolting &amp; Fasteners</t>
        </is>
      </c>
      <c r="D8" s="6" t="inlineStr">
        <is>
          <t>5%</t>
        </is>
      </c>
      <c r="E8" s="6" t="inlineStr">
        <is>
          <t>HSFG bolts, IS 4000, torque specification</t>
        </is>
      </c>
      <c r="F8" s="6" t="inlineStr"/>
      <c r="G8" s="6">
        <f>IFERROR(F8*0.05,0)</f>
        <v/>
      </c>
      <c r="H8" s="6" t="inlineStr"/>
      <c r="I8" s="6">
        <f>IFERROR(H8*0.05,0)</f>
        <v/>
      </c>
      <c r="J8" s="6" t="inlineStr"/>
      <c r="K8" s="6">
        <f>IFERROR(J8*0.05,0)</f>
        <v/>
      </c>
    </row>
    <row r="9" ht="22" customHeight="1">
      <c r="B9" s="5" t="n">
        <v>5</v>
      </c>
      <c r="C9" s="5" t="inlineStr">
        <is>
          <t>Foundation Design</t>
        </is>
      </c>
      <c r="D9" s="5" t="inlineStr">
        <is>
          <t>10%</t>
        </is>
      </c>
      <c r="E9" s="5" t="inlineStr">
        <is>
          <t>IS 456, IS 1904, site-specific design</t>
        </is>
      </c>
      <c r="F9" s="5" t="inlineStr"/>
      <c r="G9" s="5">
        <f>IFERROR(F9*0.1,0)</f>
        <v/>
      </c>
      <c r="H9" s="5" t="inlineStr"/>
      <c r="I9" s="5">
        <f>IFERROR(H9*0.1,0)</f>
        <v/>
      </c>
      <c r="J9" s="5" t="inlineStr"/>
      <c r="K9" s="5">
        <f>IFERROR(J9*0.1,0)</f>
        <v/>
      </c>
    </row>
    <row r="10" ht="22" customHeight="1">
      <c r="B10" s="6" t="n">
        <v>6</v>
      </c>
      <c r="C10" s="6" t="inlineStr">
        <is>
          <t>Lightning Protection</t>
        </is>
      </c>
      <c r="D10" s="6" t="inlineStr">
        <is>
          <t>5%</t>
        </is>
      </c>
      <c r="E10" s="6" t="inlineStr">
        <is>
          <t>IEC 62305 compliance, grounding design</t>
        </is>
      </c>
      <c r="F10" s="6" t="inlineStr"/>
      <c r="G10" s="6">
        <f>IFERROR(F10*0.05,0)</f>
        <v/>
      </c>
      <c r="H10" s="6" t="inlineStr"/>
      <c r="I10" s="6">
        <f>IFERROR(H10*0.05,0)</f>
        <v/>
      </c>
      <c r="J10" s="6" t="inlineStr"/>
      <c r="K10" s="6">
        <f>IFERROR(J10*0.05,0)</f>
        <v/>
      </c>
    </row>
    <row r="11" ht="22" customHeight="1">
      <c r="B11" s="5" t="n">
        <v>7</v>
      </c>
      <c r="C11" s="5" t="inlineStr">
        <is>
          <t>Aviation Marking &amp; Lighting</t>
        </is>
      </c>
      <c r="D11" s="5" t="inlineStr">
        <is>
          <t>5%</t>
        </is>
      </c>
      <c r="E11" s="5" t="inlineStr">
        <is>
          <t>AAI/DGCA compliance, solar light</t>
        </is>
      </c>
      <c r="F11" s="5" t="inlineStr"/>
      <c r="G11" s="5">
        <f>IFERROR(F11*0.05,0)</f>
        <v/>
      </c>
      <c r="H11" s="5" t="inlineStr"/>
      <c r="I11" s="5">
        <f>IFERROR(H11*0.05,0)</f>
        <v/>
      </c>
      <c r="J11" s="5" t="inlineStr"/>
      <c r="K11" s="5">
        <f>IFERROR(J11*0.05,0)</f>
        <v/>
      </c>
    </row>
    <row r="12" ht="22" customHeight="1">
      <c r="B12" s="6" t="n">
        <v>8</v>
      </c>
      <c r="C12" s="6" t="inlineStr">
        <is>
          <t>Instrumentation &amp; Calibration</t>
        </is>
      </c>
      <c r="D12" s="6" t="inlineStr">
        <is>
          <t>15%</t>
        </is>
      </c>
      <c r="E12" s="6" t="inlineStr">
        <is>
          <t>IEC 61400-12-1, MEASNET, Class 1 anemometers</t>
        </is>
      </c>
      <c r="F12" s="6" t="inlineStr"/>
      <c r="G12" s="6">
        <f>IFERROR(F12*0.15,0)</f>
        <v/>
      </c>
      <c r="H12" s="6" t="inlineStr"/>
      <c r="I12" s="6">
        <f>IFERROR(H12*0.15,0)</f>
        <v/>
      </c>
      <c r="J12" s="6" t="inlineStr"/>
      <c r="K12" s="6">
        <f>IFERROR(J12*0.15,0)</f>
        <v/>
      </c>
    </row>
    <row r="13" ht="22" customHeight="1">
      <c r="B13" s="5" t="n">
        <v>9</v>
      </c>
      <c r="C13" s="5" t="inlineStr">
        <is>
          <t>Data Logger &amp; Communication</t>
        </is>
      </c>
      <c r="D13" s="5" t="inlineStr">
        <is>
          <t>5%</t>
        </is>
      </c>
      <c r="E13" s="5" t="inlineStr">
        <is>
          <t>1 Hz sampling, GPS, 4G, data format</t>
        </is>
      </c>
      <c r="F13" s="5" t="inlineStr"/>
      <c r="G13" s="5">
        <f>IFERROR(F13*0.05,0)</f>
        <v/>
      </c>
      <c r="H13" s="5" t="inlineStr"/>
      <c r="I13" s="5">
        <f>IFERROR(H13*0.05,0)</f>
        <v/>
      </c>
      <c r="J13" s="5" t="inlineStr"/>
      <c r="K13" s="5">
        <f>IFERROR(J13*0.05,0)</f>
        <v/>
      </c>
    </row>
    <row r="14" ht="22" customHeight="1">
      <c r="B14" s="6" t="n">
        <v>10</v>
      </c>
      <c r="C14" s="6" t="inlineStr">
        <is>
          <t>Erection &amp; Commissioning Capability</t>
        </is>
      </c>
      <c r="D14" s="6" t="inlineStr">
        <is>
          <t>5%</t>
        </is>
      </c>
      <c r="E14" s="6" t="inlineStr">
        <is>
          <t>Crew experience, HSE plan, climbing safety</t>
        </is>
      </c>
      <c r="F14" s="6" t="inlineStr"/>
      <c r="G14" s="6">
        <f>IFERROR(F14*0.05,0)</f>
        <v/>
      </c>
      <c r="H14" s="6" t="inlineStr"/>
      <c r="I14" s="6">
        <f>IFERROR(H14*0.05,0)</f>
        <v/>
      </c>
      <c r="J14" s="6" t="inlineStr"/>
      <c r="K14" s="6">
        <f>IFERROR(J14*0.05,0)</f>
        <v/>
      </c>
    </row>
    <row r="15" ht="22" customHeight="1">
      <c r="B15" s="5" t="n">
        <v>11</v>
      </c>
      <c r="C15" s="5" t="inlineStr">
        <is>
          <t>Documentation &amp; QA/QC</t>
        </is>
      </c>
      <c r="D15" s="5" t="inlineStr">
        <is>
          <t>5%</t>
        </is>
      </c>
      <c r="E15" s="5" t="inlineStr">
        <is>
          <t>Mill certs, galv certs, WPS, NDT, traceability</t>
        </is>
      </c>
      <c r="F15" s="5" t="inlineStr"/>
      <c r="G15" s="5">
        <f>IFERROR(F15*0.05,0)</f>
        <v/>
      </c>
      <c r="H15" s="5" t="inlineStr"/>
      <c r="I15" s="5">
        <f>IFERROR(H15*0.05,0)</f>
        <v/>
      </c>
      <c r="J15" s="5" t="inlineStr"/>
      <c r="K15" s="5">
        <f>IFERROR(J15*0.05,0)</f>
        <v/>
      </c>
    </row>
    <row r="16" ht="22" customHeight="1">
      <c r="B16" s="6" t="n">
        <v>12</v>
      </c>
      <c r="C16" s="6" t="inlineStr">
        <is>
          <t>Warranty &amp; After-Sales Support</t>
        </is>
      </c>
      <c r="D16" s="6" t="inlineStr">
        <is>
          <t>5%</t>
        </is>
      </c>
      <c r="E16" s="6" t="inlineStr">
        <is>
          <t>15yr structural, 2yr instrumentation, AMC</t>
        </is>
      </c>
      <c r="F16" s="6" t="inlineStr"/>
      <c r="G16" s="6">
        <f>IFERROR(F16*0.05,0)</f>
        <v/>
      </c>
      <c r="H16" s="6" t="inlineStr"/>
      <c r="I16" s="6">
        <f>IFERROR(H16*0.05,0)</f>
        <v/>
      </c>
      <c r="J16" s="6" t="inlineStr"/>
      <c r="K16" s="6">
        <f>IFERROR(J16*0.05,0)</f>
        <v/>
      </c>
    </row>
    <row r="17" ht="26" customHeight="1">
      <c r="B17" s="9" t="n"/>
      <c r="C17" s="9" t="inlineStr">
        <is>
          <t>TOTAL WEIGHTED SCORE</t>
        </is>
      </c>
      <c r="D17" s="9" t="inlineStr">
        <is>
          <t>100%</t>
        </is>
      </c>
      <c r="E17" s="9" t="n"/>
      <c r="F17" s="9" t="n"/>
      <c r="G17" s="10">
        <f>SUM(G5:G16)</f>
        <v/>
      </c>
      <c r="H17" s="9" t="n"/>
      <c r="I17" s="10">
        <f>SUM(I5:I16)</f>
        <v/>
      </c>
      <c r="J17" s="9" t="n"/>
      <c r="K17" s="10">
        <f>SUM(K5:K16)</f>
        <v/>
      </c>
    </row>
    <row r="19">
      <c r="B19" s="11" t="inlineStr">
        <is>
          <t>RECOMMENDED VENDOR:</t>
        </is>
      </c>
      <c r="C19" t="inlineStr"/>
    </row>
  </sheetData>
  <mergeCells count="2">
    <mergeCell ref="C19:F19"/>
    <mergeCell ref="B2:K2"/>
  </mergeCells>
  <dataValidations count="1">
    <dataValidation sqref="F5:F16 H5:H16 J5:J16" showDropDown="0" showInputMessage="0" showErrorMessage="0" allowBlank="1" error="Score must be between 1 and 10" prompt="Enter score from 1 (worst) to 10 (best)" type="whole" operator="between">
      <formula1>1</formula1>
      <formula2>10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5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0" customWidth="1" min="3" max="3"/>
    <col width="58" customWidth="1" min="4" max="4"/>
    <col width="12" customWidth="1" min="5" max="5"/>
    <col width="15" customWidth="1" min="6" max="6"/>
    <col width="12" customWidth="1" min="7" max="7"/>
    <col width="22" customWidth="1" min="8" max="8"/>
  </cols>
  <sheetData>
    <row r="1" ht="15" customHeight="1"/>
    <row r="2" ht="32" customHeight="1">
      <c r="B2" s="1" t="inlineStr">
        <is>
          <t>Document Submission Checklist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Category</t>
        </is>
      </c>
      <c r="D4" s="2" t="inlineStr">
        <is>
          <t>Document Required</t>
        </is>
      </c>
      <c r="E4" s="2" t="inlineStr">
        <is>
          <t>Received?</t>
        </is>
      </c>
      <c r="F4" s="2" t="inlineStr">
        <is>
          <t>Date Received</t>
        </is>
      </c>
      <c r="G4" s="2" t="inlineStr">
        <is>
          <t>Verified?</t>
        </is>
      </c>
      <c r="H4" s="2" t="inlineStr">
        <is>
          <t>Remarks</t>
        </is>
      </c>
    </row>
    <row r="5" ht="22" customHeight="1">
      <c r="B5" s="5" t="n">
        <v>1</v>
      </c>
      <c r="C5" s="5" t="inlineStr">
        <is>
          <t>Structural Design</t>
        </is>
      </c>
      <c r="D5" s="5" t="inlineStr">
        <is>
          <t>Structural Design Calculations (IS 875-3, IS 1893, BS EN 1993-3-1)</t>
        </is>
      </c>
      <c r="E5" s="5" t="n"/>
      <c r="F5" s="5" t="n"/>
      <c r="G5" s="5" t="n"/>
      <c r="H5" s="5" t="n"/>
    </row>
    <row r="6" ht="22" customHeight="1">
      <c r="B6" s="6" t="n">
        <v>2</v>
      </c>
      <c r="C6" s="6" t="inlineStr">
        <is>
          <t>Structural Design</t>
        </is>
      </c>
      <c r="D6" s="6" t="inlineStr">
        <is>
          <t>Foundation Design Report (IS 456, IS 1904) — site-specific for SBC 150 kN/m²</t>
        </is>
      </c>
      <c r="E6" s="6" t="n"/>
      <c r="F6" s="6" t="n"/>
      <c r="G6" s="6" t="n"/>
      <c r="H6" s="6" t="n"/>
    </row>
    <row r="7" ht="22" customHeight="1">
      <c r="B7" s="5" t="n">
        <v>3</v>
      </c>
      <c r="C7" s="5" t="inlineStr">
        <is>
          <t>Structural Design</t>
        </is>
      </c>
      <c r="D7" s="5" t="inlineStr">
        <is>
          <t>Design Wind Speed Computation Sheet (IS 875-3 with K1, K2, K3, K4)</t>
        </is>
      </c>
      <c r="E7" s="5" t="n"/>
      <c r="F7" s="5" t="n"/>
      <c r="G7" s="5" t="n"/>
      <c r="H7" s="5" t="n"/>
    </row>
    <row r="8" ht="22" customHeight="1">
      <c r="B8" s="6" t="n">
        <v>4</v>
      </c>
      <c r="C8" s="6" t="inlineStr">
        <is>
          <t>Structural Design</t>
        </is>
      </c>
      <c r="D8" s="6" t="inlineStr">
        <is>
          <t>Third-Party Structural Design Review Certificate</t>
        </is>
      </c>
      <c r="E8" s="6" t="n"/>
      <c r="F8" s="6" t="n"/>
      <c r="G8" s="6" t="n"/>
      <c r="H8" s="6" t="n"/>
    </row>
    <row r="9" ht="22" customHeight="1">
      <c r="B9" s="5" t="n">
        <v>5</v>
      </c>
      <c r="C9" s="5" t="inlineStr">
        <is>
          <t>Structural Design</t>
        </is>
      </c>
      <c r="D9" s="5" t="inlineStr">
        <is>
          <t>Guy Wire Load Calculation &amp; Safety Factor Verification</t>
        </is>
      </c>
      <c r="E9" s="5" t="n"/>
      <c r="F9" s="5" t="n"/>
      <c r="G9" s="5" t="n"/>
      <c r="H9" s="5" t="n"/>
    </row>
    <row r="10" ht="22" customHeight="1">
      <c r="B10" s="6" t="n">
        <v>6</v>
      </c>
      <c r="C10" s="6" t="inlineStr">
        <is>
          <t>Fabrication</t>
        </is>
      </c>
      <c r="D10" s="6" t="inlineStr">
        <is>
          <t>Fabrication / Shop Drawings with all member sizes and connection details</t>
        </is>
      </c>
      <c r="E10" s="6" t="n"/>
      <c r="F10" s="6" t="n"/>
      <c r="G10" s="6" t="n"/>
      <c r="H10" s="6" t="n"/>
    </row>
    <row r="11" ht="22" customHeight="1">
      <c r="B11" s="5" t="n">
        <v>7</v>
      </c>
      <c r="C11" s="5" t="inlineStr">
        <is>
          <t>Fabrication</t>
        </is>
      </c>
      <c r="D11" s="5" t="inlineStr">
        <is>
          <t>Bill of Materials (BOM) — structural steel, bolts, guy wires</t>
        </is>
      </c>
      <c r="E11" s="5" t="n"/>
      <c r="F11" s="5" t="n"/>
      <c r="G11" s="5" t="n"/>
      <c r="H11" s="5" t="n"/>
    </row>
    <row r="12" ht="22" customHeight="1">
      <c r="B12" s="6" t="n">
        <v>8</v>
      </c>
      <c r="C12" s="6" t="inlineStr">
        <is>
          <t>Fabrication</t>
        </is>
      </c>
      <c r="D12" s="6" t="inlineStr">
        <is>
          <t>Section Orientation Drawing (preventing water entrapment)</t>
        </is>
      </c>
      <c r="E12" s="6" t="n"/>
      <c r="F12" s="6" t="n"/>
      <c r="G12" s="6" t="n"/>
      <c r="H12" s="6" t="n"/>
    </row>
    <row r="13" ht="22" customHeight="1">
      <c r="B13" s="5" t="n">
        <v>9</v>
      </c>
      <c r="C13" s="5" t="inlineStr">
        <is>
          <t>Fabrication</t>
        </is>
      </c>
      <c r="D13" s="5" t="inlineStr">
        <is>
          <t>Welding Procedure Specifications (WPS) per IS 816 / AWS D1.1</t>
        </is>
      </c>
      <c r="E13" s="5" t="n"/>
      <c r="F13" s="5" t="n"/>
      <c r="G13" s="5" t="n"/>
      <c r="H13" s="5" t="n"/>
    </row>
    <row r="14" ht="22" customHeight="1">
      <c r="B14" s="6" t="n">
        <v>10</v>
      </c>
      <c r="C14" s="6" t="inlineStr">
        <is>
          <t>Fabrication</t>
        </is>
      </c>
      <c r="D14" s="6" t="inlineStr">
        <is>
          <t>Welder Qualification Test Certificates per IS 817</t>
        </is>
      </c>
      <c r="E14" s="6" t="n"/>
      <c r="F14" s="6" t="n"/>
      <c r="G14" s="6" t="n"/>
      <c r="H14" s="6" t="n"/>
    </row>
    <row r="15" ht="22" customHeight="1">
      <c r="B15" s="5" t="n">
        <v>11</v>
      </c>
      <c r="C15" s="5" t="inlineStr">
        <is>
          <t>Fabrication</t>
        </is>
      </c>
      <c r="D15" s="5" t="inlineStr">
        <is>
          <t>NDT Reports — visual (100%), MT/PT (10%), UT (butt welds)</t>
        </is>
      </c>
      <c r="E15" s="5" t="n"/>
      <c r="F15" s="5" t="n"/>
      <c r="G15" s="5" t="n"/>
      <c r="H15" s="5" t="n"/>
    </row>
    <row r="16" ht="22" customHeight="1">
      <c r="B16" s="6" t="n">
        <v>12</v>
      </c>
      <c r="C16" s="6" t="inlineStr">
        <is>
          <t>Fabrication</t>
        </is>
      </c>
      <c r="D16" s="6" t="inlineStr">
        <is>
          <t>Fabrication Tolerance Report per IS 7215</t>
        </is>
      </c>
      <c r="E16" s="6" t="n"/>
      <c r="F16" s="6" t="n"/>
      <c r="G16" s="6" t="n"/>
      <c r="H16" s="6" t="n"/>
    </row>
    <row r="17" ht="22" customHeight="1">
      <c r="B17" s="5" t="n">
        <v>13</v>
      </c>
      <c r="C17" s="5" t="inlineStr">
        <is>
          <t>Steel &amp; Materials</t>
        </is>
      </c>
      <c r="D17" s="5" t="inlineStr">
        <is>
          <t>Mill Test Certificates for all structural steel (IS 2062 Grade E250)</t>
        </is>
      </c>
      <c r="E17" s="5" t="n"/>
      <c r="F17" s="5" t="n"/>
      <c r="G17" s="5" t="n"/>
      <c r="H17" s="5" t="n"/>
    </row>
    <row r="18" ht="22" customHeight="1">
      <c r="B18" s="6" t="n">
        <v>14</v>
      </c>
      <c r="C18" s="6" t="inlineStr">
        <is>
          <t>Steel &amp; Materials</t>
        </is>
      </c>
      <c r="D18" s="6" t="inlineStr">
        <is>
          <t>Bolt Test Certificates (IS 1363 Part 1 — Grade 8.8 / 10.9)</t>
        </is>
      </c>
      <c r="E18" s="6" t="n"/>
      <c r="F18" s="6" t="n"/>
      <c r="G18" s="6" t="n"/>
      <c r="H18" s="6" t="n"/>
    </row>
    <row r="19" ht="22" customHeight="1">
      <c r="B19" s="5" t="n">
        <v>15</v>
      </c>
      <c r="C19" s="5" t="inlineStr">
        <is>
          <t>Steel &amp; Materials</t>
        </is>
      </c>
      <c r="D19" s="5" t="inlineStr">
        <is>
          <t>Nut Test Certificates (IS 1363 Part 2)</t>
        </is>
      </c>
      <c r="E19" s="5" t="n"/>
      <c r="F19" s="5" t="n"/>
      <c r="G19" s="5" t="n"/>
      <c r="H19" s="5" t="n"/>
    </row>
    <row r="20" ht="22" customHeight="1">
      <c r="B20" s="6" t="n">
        <v>16</v>
      </c>
      <c r="C20" s="6" t="inlineStr">
        <is>
          <t>Steel &amp; Materials</t>
        </is>
      </c>
      <c r="D20" s="6" t="inlineStr">
        <is>
          <t>Guy Wire Test Certificate (IS 2266 — breaking load, galvanizing class)</t>
        </is>
      </c>
      <c r="E20" s="6" t="n"/>
      <c r="F20" s="6" t="n"/>
      <c r="G20" s="6" t="n"/>
      <c r="H20" s="6" t="n"/>
    </row>
    <row r="21" ht="22" customHeight="1">
      <c r="B21" s="5" t="n">
        <v>17</v>
      </c>
      <c r="C21" s="5" t="inlineStr">
        <is>
          <t>Steel &amp; Materials</t>
        </is>
      </c>
      <c r="D21" s="5" t="inlineStr">
        <is>
          <t>Turnbuckle Proof Load Certificate (IS 4211)</t>
        </is>
      </c>
      <c r="E21" s="5" t="n"/>
      <c r="F21" s="5" t="n"/>
      <c r="G21" s="5" t="n"/>
      <c r="H21" s="5" t="n"/>
    </row>
    <row r="22" ht="22" customHeight="1">
      <c r="B22" s="6" t="n">
        <v>18</v>
      </c>
      <c r="C22" s="6" t="inlineStr">
        <is>
          <t>Steel &amp; Materials</t>
        </is>
      </c>
      <c r="D22" s="6" t="inlineStr">
        <is>
          <t>Anchor Bolt Material Certificate</t>
        </is>
      </c>
      <c r="E22" s="6" t="n"/>
      <c r="F22" s="6" t="n"/>
      <c r="G22" s="6" t="n"/>
      <c r="H22" s="6" t="n"/>
    </row>
    <row r="23" ht="22" customHeight="1">
      <c r="B23" s="5" t="n">
        <v>19</v>
      </c>
      <c r="C23" s="5" t="inlineStr">
        <is>
          <t>Galvanizing</t>
        </is>
      </c>
      <c r="D23" s="5" t="inlineStr">
        <is>
          <t>Galvanizing Test Certificates — zinc coating thickness per IS 2633</t>
        </is>
      </c>
      <c r="E23" s="5" t="n"/>
      <c r="F23" s="5" t="n"/>
      <c r="G23" s="5" t="n"/>
      <c r="H23" s="5" t="n"/>
    </row>
    <row r="24" ht="22" customHeight="1">
      <c r="B24" s="6" t="n">
        <v>20</v>
      </c>
      <c r="C24" s="6" t="inlineStr">
        <is>
          <t>Galvanizing</t>
        </is>
      </c>
      <c r="D24" s="6" t="inlineStr">
        <is>
          <t>Adhesion Test Report per IS 2629</t>
        </is>
      </c>
      <c r="E24" s="6" t="n"/>
      <c r="F24" s="6" t="n"/>
      <c r="G24" s="6" t="n"/>
      <c r="H24" s="6" t="n"/>
    </row>
    <row r="25" ht="22" customHeight="1">
      <c r="B25" s="5" t="n">
        <v>21</v>
      </c>
      <c r="C25" s="5" t="inlineStr">
        <is>
          <t>Galvanizing</t>
        </is>
      </c>
      <c r="D25" s="5" t="inlineStr">
        <is>
          <t>Uniformity Test (Preece Test) Report per IS 2633</t>
        </is>
      </c>
      <c r="E25" s="5" t="n"/>
      <c r="F25" s="5" t="n"/>
      <c r="G25" s="5" t="n"/>
      <c r="H25" s="5" t="n"/>
    </row>
    <row r="26" ht="22" customHeight="1">
      <c r="B26" s="6" t="n">
        <v>22</v>
      </c>
      <c r="C26" s="6" t="inlineStr">
        <is>
          <t>Galvanizing</t>
        </is>
      </c>
      <c r="D26" s="6" t="inlineStr">
        <is>
          <t>Zinc Certificate of Conformity (IS 209 — Grade Zn 98)</t>
        </is>
      </c>
      <c r="E26" s="6" t="n"/>
      <c r="F26" s="6" t="n"/>
      <c r="G26" s="6" t="n"/>
      <c r="H26" s="6" t="n"/>
    </row>
    <row r="27" ht="22" customHeight="1">
      <c r="B27" s="5" t="n">
        <v>23</v>
      </c>
      <c r="C27" s="5" t="inlineStr">
        <is>
          <t>Galvanizing</t>
        </is>
      </c>
      <c r="D27" s="5" t="inlineStr">
        <is>
          <t>Bolt/Nut Galvanizing Certificate (IS 1363 Part 3)</t>
        </is>
      </c>
      <c r="E27" s="5" t="n"/>
      <c r="F27" s="5" t="n"/>
      <c r="G27" s="5" t="n"/>
      <c r="H27" s="5" t="n"/>
    </row>
    <row r="28" ht="22" customHeight="1">
      <c r="B28" s="6" t="n">
        <v>24</v>
      </c>
      <c r="C28" s="6" t="inlineStr">
        <is>
          <t>Painting</t>
        </is>
      </c>
      <c r="D28" s="6" t="inlineStr">
        <is>
          <t>Paint Technical Data Sheets (primer, intermediate, finish)</t>
        </is>
      </c>
      <c r="E28" s="6" t="n"/>
      <c r="F28" s="6" t="n"/>
      <c r="G28" s="6" t="n"/>
      <c r="H28" s="6" t="n"/>
    </row>
    <row r="29" ht="22" customHeight="1">
      <c r="B29" s="5" t="n">
        <v>25</v>
      </c>
      <c r="C29" s="5" t="inlineStr">
        <is>
          <t>Painting</t>
        </is>
      </c>
      <c r="D29" s="5" t="inlineStr">
        <is>
          <t>DFT Measurement Report per IS 5665</t>
        </is>
      </c>
      <c r="E29" s="5" t="n"/>
      <c r="F29" s="5" t="n"/>
      <c r="G29" s="5" t="n"/>
      <c r="H29" s="5" t="n"/>
    </row>
    <row r="30" ht="22" customHeight="1">
      <c r="B30" s="6" t="n">
        <v>26</v>
      </c>
      <c r="C30" s="6" t="inlineStr">
        <is>
          <t>Painting</t>
        </is>
      </c>
      <c r="D30" s="6" t="inlineStr">
        <is>
          <t>Aviation Band Painting Completion Certificate</t>
        </is>
      </c>
      <c r="E30" s="6" t="n"/>
      <c r="F30" s="6" t="n"/>
      <c r="G30" s="6" t="n"/>
      <c r="H30" s="6" t="n"/>
    </row>
    <row r="31" ht="22" customHeight="1">
      <c r="B31" s="5" t="n">
        <v>27</v>
      </c>
      <c r="C31" s="5" t="inlineStr">
        <is>
          <t>Lightning</t>
        </is>
      </c>
      <c r="D31" s="5" t="inlineStr">
        <is>
          <t>Lightning Protection Design Report per IEC 62305 / IS 2309</t>
        </is>
      </c>
      <c r="E31" s="5" t="n"/>
      <c r="F31" s="5" t="n"/>
      <c r="G31" s="5" t="n"/>
      <c r="H31" s="5" t="n"/>
    </row>
    <row r="32" ht="22" customHeight="1">
      <c r="B32" s="6" t="n">
        <v>28</v>
      </c>
      <c r="C32" s="6" t="inlineStr">
        <is>
          <t>Lightning</t>
        </is>
      </c>
      <c r="D32" s="6" t="inlineStr">
        <is>
          <t>Grounding Resistance Test Report per IS 9226 (&lt; 10 ohms)</t>
        </is>
      </c>
      <c r="E32" s="6" t="n"/>
      <c r="F32" s="6" t="n"/>
      <c r="G32" s="6" t="n"/>
      <c r="H32" s="6" t="n"/>
    </row>
    <row r="33" ht="22" customHeight="1">
      <c r="B33" s="5" t="n">
        <v>29</v>
      </c>
      <c r="C33" s="5" t="inlineStr">
        <is>
          <t>Lightning</t>
        </is>
      </c>
      <c r="D33" s="5" t="inlineStr">
        <is>
          <t>SPD Specifications and Installation Details (IEC 61643)</t>
        </is>
      </c>
      <c r="E33" s="5" t="n"/>
      <c r="F33" s="5" t="n"/>
      <c r="G33" s="5" t="n"/>
      <c r="H33" s="5" t="n"/>
    </row>
    <row r="34" ht="22" customHeight="1">
      <c r="B34" s="6" t="n">
        <v>30</v>
      </c>
      <c r="C34" s="6" t="inlineStr">
        <is>
          <t>Aviation</t>
        </is>
      </c>
      <c r="D34" s="6" t="inlineStr">
        <is>
          <t>AAI/DGCA Aviation Clearance (NOC)</t>
        </is>
      </c>
      <c r="E34" s="6" t="n"/>
      <c r="F34" s="6" t="n"/>
      <c r="G34" s="6" t="n"/>
      <c r="H34" s="6" t="n"/>
    </row>
    <row r="35" ht="22" customHeight="1">
      <c r="B35" s="5" t="n">
        <v>31</v>
      </c>
      <c r="C35" s="5" t="inlineStr">
        <is>
          <t>Aviation</t>
        </is>
      </c>
      <c r="D35" s="5" t="inlineStr">
        <is>
          <t>Aviation Light Type Test Certificate (ICAO Annex 14 Type A)</t>
        </is>
      </c>
      <c r="E35" s="5" t="n"/>
      <c r="F35" s="5" t="n"/>
      <c r="G35" s="5" t="n"/>
      <c r="H35" s="5" t="n"/>
    </row>
    <row r="36" ht="22" customHeight="1">
      <c r="B36" s="6" t="n">
        <v>32</v>
      </c>
      <c r="C36" s="6" t="inlineStr">
        <is>
          <t>Aviation</t>
        </is>
      </c>
      <c r="D36" s="6" t="inlineStr">
        <is>
          <t>Aviation Light Installation &amp; Function Test Certificate</t>
        </is>
      </c>
      <c r="E36" s="6" t="n"/>
      <c r="F36" s="6" t="n"/>
      <c r="G36" s="6" t="n"/>
      <c r="H36" s="6" t="n"/>
    </row>
    <row r="37" ht="22" customHeight="1">
      <c r="B37" s="5" t="n">
        <v>33</v>
      </c>
      <c r="C37" s="5" t="inlineStr">
        <is>
          <t>Instrumentation</t>
        </is>
      </c>
      <c r="D37" s="5" t="inlineStr">
        <is>
          <t>Anemometer MEASNET Calibration Certificates (one per sensor)</t>
        </is>
      </c>
      <c r="E37" s="5" t="n"/>
      <c r="F37" s="5" t="n"/>
      <c r="G37" s="5" t="n"/>
      <c r="H37" s="5" t="n"/>
    </row>
    <row r="38" ht="22" customHeight="1">
      <c r="B38" s="6" t="n">
        <v>34</v>
      </c>
      <c r="C38" s="6" t="inlineStr">
        <is>
          <t>Instrumentation</t>
        </is>
      </c>
      <c r="D38" s="6" t="inlineStr">
        <is>
          <t>Wind Vane Calibration Certificates</t>
        </is>
      </c>
      <c r="E38" s="6" t="n"/>
      <c r="F38" s="6" t="n"/>
      <c r="G38" s="6" t="n"/>
      <c r="H38" s="6" t="n"/>
    </row>
    <row r="39" ht="22" customHeight="1">
      <c r="B39" s="5" t="n">
        <v>35</v>
      </c>
      <c r="C39" s="5" t="inlineStr">
        <is>
          <t>Instrumentation</t>
        </is>
      </c>
      <c r="D39" s="5" t="inlineStr">
        <is>
          <t>Temperature Sensor Calibration Certificates (ITS-90)</t>
        </is>
      </c>
      <c r="E39" s="5" t="n"/>
      <c r="F39" s="5" t="n"/>
      <c r="G39" s="5" t="n"/>
      <c r="H39" s="5" t="n"/>
    </row>
    <row r="40" ht="22" customHeight="1">
      <c r="B40" s="6" t="n">
        <v>36</v>
      </c>
      <c r="C40" s="6" t="inlineStr">
        <is>
          <t>Instrumentation</t>
        </is>
      </c>
      <c r="D40" s="6" t="inlineStr">
        <is>
          <t>Barometric Pressure Sensor Calibration Certificate</t>
        </is>
      </c>
      <c r="E40" s="6" t="n"/>
      <c r="F40" s="6" t="n"/>
      <c r="G40" s="6" t="n"/>
      <c r="H40" s="6" t="n"/>
    </row>
    <row r="41" ht="22" customHeight="1">
      <c r="B41" s="5" t="n">
        <v>37</v>
      </c>
      <c r="C41" s="5" t="inlineStr">
        <is>
          <t>Instrumentation</t>
        </is>
      </c>
      <c r="D41" s="5" t="inlineStr">
        <is>
          <t>Data Logger Channel Verification Report</t>
        </is>
      </c>
      <c r="E41" s="5" t="n"/>
      <c r="F41" s="5" t="n"/>
      <c r="G41" s="5" t="n"/>
      <c r="H41" s="5" t="n"/>
    </row>
    <row r="42" ht="22" customHeight="1">
      <c r="B42" s="6" t="n">
        <v>38</v>
      </c>
      <c r="C42" s="6" t="inlineStr">
        <is>
          <t>Instrumentation</t>
        </is>
      </c>
      <c r="D42" s="6" t="inlineStr">
        <is>
          <t>Sensor Serial Number Register with mounting details</t>
        </is>
      </c>
      <c r="E42" s="6" t="n"/>
      <c r="F42" s="6" t="n"/>
      <c r="G42" s="6" t="n"/>
      <c r="H42" s="6" t="n"/>
    </row>
    <row r="43" ht="22" customHeight="1">
      <c r="B43" s="5" t="n">
        <v>39</v>
      </c>
      <c r="C43" s="5" t="inlineStr">
        <is>
          <t>Instrumentation</t>
        </is>
      </c>
      <c r="D43" s="5" t="inlineStr">
        <is>
          <t>Post-Installation Sensor Verification Report with photographs</t>
        </is>
      </c>
      <c r="E43" s="5" t="n"/>
      <c r="F43" s="5" t="n"/>
      <c r="G43" s="5" t="n"/>
      <c r="H43" s="5" t="n"/>
    </row>
    <row r="44" ht="22" customHeight="1">
      <c r="B44" s="6" t="n">
        <v>40</v>
      </c>
      <c r="C44" s="6" t="inlineStr">
        <is>
          <t>Instrumentation</t>
        </is>
      </c>
      <c r="D44" s="6" t="inlineStr">
        <is>
          <t>Tower Shadow Correction Data / Methodology</t>
        </is>
      </c>
      <c r="E44" s="6" t="n"/>
      <c r="F44" s="6" t="n"/>
      <c r="G44" s="6" t="n"/>
      <c r="H44" s="6" t="n"/>
    </row>
    <row r="45" ht="22" customHeight="1">
      <c r="B45" s="5" t="n">
        <v>41</v>
      </c>
      <c r="C45" s="5" t="inlineStr">
        <is>
          <t>Installation</t>
        </is>
      </c>
      <c r="D45" s="5" t="inlineStr">
        <is>
          <t>Erection Manual with step-by-step procedure and safety plan</t>
        </is>
      </c>
      <c r="E45" s="5" t="n"/>
      <c r="F45" s="5" t="n"/>
      <c r="G45" s="5" t="n"/>
      <c r="H45" s="5" t="n"/>
    </row>
    <row r="46" ht="22" customHeight="1">
      <c r="B46" s="6" t="n">
        <v>42</v>
      </c>
      <c r="C46" s="6" t="inlineStr">
        <is>
          <t>Installation</t>
        </is>
      </c>
      <c r="D46" s="6" t="inlineStr">
        <is>
          <t>HSE Plan &amp; Risk Assessment</t>
        </is>
      </c>
      <c r="E46" s="6" t="n"/>
      <c r="F46" s="6" t="n"/>
      <c r="G46" s="6" t="n"/>
      <c r="H46" s="6" t="n"/>
    </row>
    <row r="47" ht="22" customHeight="1">
      <c r="B47" s="5" t="n">
        <v>43</v>
      </c>
      <c r="C47" s="5" t="inlineStr">
        <is>
          <t>Installation</t>
        </is>
      </c>
      <c r="D47" s="5" t="inlineStr">
        <is>
          <t>Erection Completion Certificate</t>
        </is>
      </c>
      <c r="E47" s="5" t="n"/>
      <c r="F47" s="5" t="n"/>
      <c r="G47" s="5" t="n"/>
      <c r="H47" s="5" t="n"/>
    </row>
    <row r="48" ht="22" customHeight="1">
      <c r="B48" s="6" t="n">
        <v>44</v>
      </c>
      <c r="C48" s="6" t="inlineStr">
        <is>
          <t>Installation</t>
        </is>
      </c>
      <c r="D48" s="6" t="inlineStr">
        <is>
          <t>Guy Wire Tension Test Report (load cell readings)</t>
        </is>
      </c>
      <c r="E48" s="6" t="n"/>
      <c r="F48" s="6" t="n"/>
      <c r="G48" s="6" t="n"/>
      <c r="H48" s="6" t="n"/>
    </row>
    <row r="49" ht="22" customHeight="1">
      <c r="B49" s="5" t="n">
        <v>45</v>
      </c>
      <c r="C49" s="5" t="inlineStr">
        <is>
          <t>Installation</t>
        </is>
      </c>
      <c r="D49" s="5" t="inlineStr">
        <is>
          <t>Plumb Survey Report (verticality verification)</t>
        </is>
      </c>
      <c r="E49" s="5" t="n"/>
      <c r="F49" s="5" t="n"/>
      <c r="G49" s="5" t="n"/>
      <c r="H49" s="5" t="n"/>
    </row>
    <row r="50" ht="22" customHeight="1">
      <c r="B50" s="6" t="n">
        <v>46</v>
      </c>
      <c r="C50" s="6" t="inlineStr">
        <is>
          <t>Installation</t>
        </is>
      </c>
      <c r="D50" s="6" t="inlineStr">
        <is>
          <t>Bolt Torque Verification Report (minimum 10% random check)</t>
        </is>
      </c>
      <c r="E50" s="6" t="n"/>
      <c r="F50" s="6" t="n"/>
      <c r="G50" s="6" t="n"/>
      <c r="H50" s="6" t="n"/>
    </row>
    <row r="51" ht="22" customHeight="1">
      <c r="B51" s="5" t="n">
        <v>47</v>
      </c>
      <c r="C51" s="5" t="inlineStr">
        <is>
          <t>Operation</t>
        </is>
      </c>
      <c r="D51" s="5" t="inlineStr">
        <is>
          <t>Inspection &amp; Maintenance Manual</t>
        </is>
      </c>
      <c r="E51" s="5" t="n"/>
      <c r="F51" s="5" t="n"/>
      <c r="G51" s="5" t="n"/>
      <c r="H51" s="5" t="n"/>
    </row>
    <row r="52" ht="22" customHeight="1">
      <c r="B52" s="6" t="n">
        <v>48</v>
      </c>
      <c r="C52" s="6" t="inlineStr">
        <is>
          <t>Operation</t>
        </is>
      </c>
      <c r="D52" s="6" t="inlineStr">
        <is>
          <t>Sensor Replacement Procedure</t>
        </is>
      </c>
      <c r="E52" s="6" t="n"/>
      <c r="F52" s="6" t="n"/>
      <c r="G52" s="6" t="n"/>
      <c r="H52" s="6" t="n"/>
    </row>
    <row r="53" ht="22" customHeight="1">
      <c r="B53" s="5" t="n">
        <v>49</v>
      </c>
      <c r="C53" s="5" t="inlineStr">
        <is>
          <t>Operation</t>
        </is>
      </c>
      <c r="D53" s="5" t="inlineStr">
        <is>
          <t>Annual Inspection Checklist</t>
        </is>
      </c>
      <c r="E53" s="5" t="n"/>
      <c r="F53" s="5" t="n"/>
      <c r="G53" s="5" t="n"/>
      <c r="H53" s="5" t="n"/>
    </row>
    <row r="54" ht="22" customHeight="1">
      <c r="B54" s="6" t="n">
        <v>50</v>
      </c>
      <c r="C54" s="6" t="inlineStr">
        <is>
          <t>Warranty</t>
        </is>
      </c>
      <c r="D54" s="6" t="inlineStr">
        <is>
          <t>Structural Warranty Certificate (minimum 15 years)</t>
        </is>
      </c>
      <c r="E54" s="6" t="n"/>
      <c r="F54" s="6" t="n"/>
      <c r="G54" s="6" t="n"/>
      <c r="H54" s="6" t="n"/>
    </row>
    <row r="55" ht="22" customHeight="1">
      <c r="B55" s="5" t="n">
        <v>51</v>
      </c>
      <c r="C55" s="5" t="inlineStr">
        <is>
          <t>Warranty</t>
        </is>
      </c>
      <c r="D55" s="5" t="inlineStr">
        <is>
          <t>Instrumentation Warranty Certificate (minimum 2 years)</t>
        </is>
      </c>
      <c r="E55" s="5" t="n"/>
      <c r="F55" s="5" t="n"/>
      <c r="G55" s="5" t="n"/>
      <c r="H55" s="5" t="n"/>
    </row>
    <row r="56" ht="22" customHeight="1">
      <c r="B56" s="6" t="n">
        <v>52</v>
      </c>
      <c r="C56" s="6" t="inlineStr">
        <is>
          <t>Warranty</t>
        </is>
      </c>
      <c r="D56" s="6" t="inlineStr">
        <is>
          <t>Guy Wire Warranty Certificate</t>
        </is>
      </c>
      <c r="E56" s="6" t="n"/>
      <c r="F56" s="6" t="n"/>
      <c r="G56" s="6" t="n"/>
      <c r="H56" s="6" t="n"/>
    </row>
    <row r="57" ht="22" customHeight="1">
      <c r="B57" s="5" t="n">
        <v>53</v>
      </c>
      <c r="C57" s="5" t="inlineStr">
        <is>
          <t>Warranty</t>
        </is>
      </c>
      <c r="D57" s="5" t="inlineStr">
        <is>
          <t>Aviation Light Warranty Certificate</t>
        </is>
      </c>
      <c r="E57" s="5" t="n"/>
      <c r="F57" s="5" t="n"/>
      <c r="G57" s="5" t="n"/>
      <c r="H57" s="5" t="n"/>
    </row>
  </sheetData>
  <mergeCells count="1">
    <mergeCell ref="B2:H2"/>
  </mergeCells>
  <conditionalFormatting sqref="E5:E57">
    <cfRule type="cellIs" priority="1" operator="equal" dxfId="2">
      <formula>"Yes"</formula>
    </cfRule>
    <cfRule type="cellIs" priority="2" operator="equal" dxfId="0">
      <formula>"No"</formula>
    </cfRule>
    <cfRule type="cellIs" priority="3" operator="equal" dxfId="1">
      <formula>"Pending"</formula>
    </cfRule>
  </conditionalFormatting>
  <dataValidations count="1">
    <dataValidation sqref="E5:E57 G5:G57" showDropDown="0" showInputMessage="0" showErrorMessage="0" allowBlank="1" type="list">
      <formula1>"Yes,No,Pending,N/A"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62" customWidth="1" min="3" max="3"/>
    <col width="30" customWidth="1" min="4" max="4"/>
  </cols>
  <sheetData>
    <row r="1" ht="15" customHeight="1"/>
    <row r="2" ht="32" customHeight="1">
      <c r="B2" s="1" t="inlineStr">
        <is>
          <t>IEC 61400-12-1 Quick Reference</t>
        </is>
      </c>
    </row>
    <row r="3" ht="8" customHeight="1"/>
    <row r="4" ht="28" customHeight="1">
      <c r="B4" s="2" t="inlineStr">
        <is>
          <t>Topic</t>
        </is>
      </c>
      <c r="C4" s="2" t="inlineStr">
        <is>
          <t>Requirement Summary</t>
        </is>
      </c>
      <c r="D4" s="2" t="inlineStr">
        <is>
          <t>Reference</t>
        </is>
      </c>
    </row>
    <row r="5" ht="22" customHeight="1">
      <c r="B5" s="5" t="inlineStr">
        <is>
          <t>Measurement Heights</t>
        </is>
      </c>
      <c r="C5" s="5" t="inlineStr">
        <is>
          <t>At or near hub height; minimum 3 levels recommended (hub height, mid-height, low level)</t>
        </is>
      </c>
      <c r="D5" s="5" t="inlineStr">
        <is>
          <t>IEC 61400-12-1 §5.2</t>
        </is>
      </c>
    </row>
    <row r="6" ht="22" customHeight="1">
      <c r="B6" s="6" t="inlineStr">
        <is>
          <t>Anemometer Class</t>
        </is>
      </c>
      <c r="C6" s="6" t="inlineStr">
        <is>
          <t>Class 1 cup anemometer for power performance and bankable resource assessment</t>
        </is>
      </c>
      <c r="D6" s="6" t="inlineStr">
        <is>
          <t>IEC 61400-12-1 §5.3 / Annex F</t>
        </is>
      </c>
    </row>
    <row r="7" ht="22" customHeight="1">
      <c r="B7" s="5" t="inlineStr">
        <is>
          <t>Anemometer Calibration</t>
        </is>
      </c>
      <c r="C7" s="5" t="inlineStr">
        <is>
          <t>Individual MEASNET-traceable wind tunnel calibration for each sensor</t>
        </is>
      </c>
      <c r="D7" s="5" t="inlineStr">
        <is>
          <t>IEC 61400-12-1 §5.3.2</t>
        </is>
      </c>
    </row>
    <row r="8" ht="22" customHeight="1">
      <c r="B8" s="6" t="inlineStr">
        <is>
          <t>Redundant Anemometers</t>
        </is>
      </c>
      <c r="C8" s="6" t="inlineStr">
        <is>
          <t>Minimum 2 anemometers per measurement height (primary + backup)</t>
        </is>
      </c>
      <c r="D8" s="6" t="inlineStr">
        <is>
          <t>IEC 61400-12-1 §5.2</t>
        </is>
      </c>
    </row>
    <row r="9" ht="22" customHeight="1">
      <c r="B9" s="5" t="inlineStr">
        <is>
          <t>Top-Mount Anemometer</t>
        </is>
      </c>
      <c r="C9" s="5" t="inlineStr">
        <is>
          <t>At least one top-mounted anemometer at mast apex (avoids tower shadow)</t>
        </is>
      </c>
      <c r="D9" s="5" t="inlineStr">
        <is>
          <t>IEC 61400-12-1 §5.3.4</t>
        </is>
      </c>
    </row>
    <row r="10" ht="22" customHeight="1">
      <c r="B10" s="6" t="inlineStr">
        <is>
          <t>Boom Length</t>
        </is>
      </c>
      <c r="C10" s="6" t="inlineStr">
        <is>
          <t>Minimum 6x mast face width from mast center to anemometer (8-12x preferred)</t>
        </is>
      </c>
      <c r="D10" s="6" t="inlineStr">
        <is>
          <t>IEC 61400-12-1 §5.3.5</t>
        </is>
      </c>
    </row>
    <row r="11" ht="22" customHeight="1">
      <c r="B11" s="5" t="inlineStr">
        <is>
          <t>Boom Orientation</t>
        </is>
      </c>
      <c r="C11" s="5" t="inlineStr">
        <is>
          <t>Booms oriented to minimize tower shadow for prevailing wind directions</t>
        </is>
      </c>
      <c r="D11" s="5" t="inlineStr">
        <is>
          <t>IEC 61400-12-1 §5.3.5</t>
        </is>
      </c>
    </row>
    <row r="12" ht="22" customHeight="1">
      <c r="B12" s="6" t="inlineStr">
        <is>
          <t>Tower Shadow Correction</t>
        </is>
      </c>
      <c r="C12" s="6" t="inlineStr">
        <is>
          <t>Correction must be applied for tower shadow effects on wind speed measurements</t>
        </is>
      </c>
      <c r="D12" s="6" t="inlineStr">
        <is>
          <t>IEC 61400-12-1 Annex G</t>
        </is>
      </c>
    </row>
    <row r="13" ht="22" customHeight="1">
      <c r="B13" s="5" t="inlineStr">
        <is>
          <t>Wind Direction</t>
        </is>
      </c>
      <c r="C13" s="5" t="inlineStr">
        <is>
          <t>At least 1 wind vane; 2 recommended at different heights with dead band &lt; 5°</t>
        </is>
      </c>
      <c r="D13" s="5" t="inlineStr">
        <is>
          <t>IEC 61400-12-1 §5.4</t>
        </is>
      </c>
    </row>
    <row r="14" ht="22" customHeight="1">
      <c r="B14" s="6" t="inlineStr">
        <is>
          <t>Temperature</t>
        </is>
      </c>
      <c r="C14" s="6" t="inlineStr">
        <is>
          <t>Air temperature at hub height and near ground for gradient / stability analysis</t>
        </is>
      </c>
      <c r="D14" s="6" t="inlineStr">
        <is>
          <t>IEC 61400-12-1 §5.5</t>
        </is>
      </c>
    </row>
    <row r="15" ht="22" customHeight="1">
      <c r="B15" s="5" t="inlineStr">
        <is>
          <t>Atmospheric Pressure</t>
        </is>
      </c>
      <c r="C15" s="5" t="inlineStr">
        <is>
          <t>Barometric pressure measurement required for air density calculation</t>
        </is>
      </c>
      <c r="D15" s="5" t="inlineStr">
        <is>
          <t>IEC 61400-12-1 §5.6</t>
        </is>
      </c>
    </row>
    <row r="16" ht="22" customHeight="1">
      <c r="B16" s="6" t="inlineStr">
        <is>
          <t>Sampling Rate</t>
        </is>
      </c>
      <c r="C16" s="6" t="inlineStr">
        <is>
          <t>Minimum 1 Hz sampling frequency (no sub-sampling)</t>
        </is>
      </c>
      <c r="D16" s="6" t="inlineStr">
        <is>
          <t>IEC 61400-12-1 §6.2</t>
        </is>
      </c>
    </row>
    <row r="17" ht="22" customHeight="1">
      <c r="B17" s="5" t="inlineStr">
        <is>
          <t>Averaging Period</t>
        </is>
      </c>
      <c r="C17" s="5" t="inlineStr">
        <is>
          <t>10-minute averaging period with mean, max, min, standard deviation statistics</t>
        </is>
      </c>
      <c r="D17" s="5" t="inlineStr">
        <is>
          <t>IEC 61400-12-1 §6.3</t>
        </is>
      </c>
    </row>
    <row r="18" ht="22" customHeight="1">
      <c r="B18" s="6" t="inlineStr">
        <is>
          <t>Data Recovery</t>
        </is>
      </c>
      <c r="C18" s="6" t="inlineStr">
        <is>
          <t>Minimum 90% data recovery over 12-month measurement period for bankability</t>
        </is>
      </c>
      <c r="D18" s="6" t="inlineStr">
        <is>
          <t>Industry Standard</t>
        </is>
      </c>
    </row>
    <row r="19" ht="22" customHeight="1">
      <c r="B19" s="5" t="inlineStr">
        <is>
          <t>Mast Siting</t>
        </is>
      </c>
      <c r="C19" s="5" t="inlineStr">
        <is>
          <t>Mast should represent turbine site conditions; avoid obstacles and wakes from other masts/turbines</t>
        </is>
      </c>
      <c r="D19" s="5" t="inlineStr">
        <is>
          <t>IEC 61400-12-1 §5.1</t>
        </is>
      </c>
    </row>
    <row r="20" ht="22" customHeight="1">
      <c r="B20" s="6" t="inlineStr">
        <is>
          <t>Calibration Currency</t>
        </is>
      </c>
      <c r="C20" s="6" t="inlineStr">
        <is>
          <t>Anemometer calibration less than 24 months old at time of deployment</t>
        </is>
      </c>
      <c r="D20" s="6" t="inlineStr">
        <is>
          <t>MEASNET / IEC 61400-12-1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2026-06-01T09:08:48Z</dcterms:created>
  <dcterms:modified xmlns:dcterms="http://purl.org/dc/terms/" xmlns:xsi="http://www.w3.org/2001/XMLSchema-instance" xsi:type="dcterms:W3CDTF">2026-06-01T09:08:49Z</dcterms:modified>
</cp:coreProperties>
</file>